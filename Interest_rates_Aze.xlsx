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elnurali/Downloads/"/>
    </mc:Choice>
  </mc:AlternateContent>
  <xr:revisionPtr revIDLastSave="0" documentId="13_ncr:1_{7BA38B71-2168-BD4D-A4CB-12CD97FB00C5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Table 3.1" sheetId="3" r:id="rId1"/>
    <sheet name="Table 3.2_nationalcurreny" sheetId="1" r:id="rId2"/>
    <sheet name="Table 3.2_foreigncurrency" sheetId="4" r:id="rId3"/>
  </sheets>
  <externalReferences>
    <externalReference r:id="rId4"/>
  </externalReferences>
  <definedNames>
    <definedName name="_xlnm._FilterDatabase" localSheetId="1" hidden="1">'Table 3.2_nationalcurreny'!$A$4:$C$11</definedName>
    <definedName name="codes">#REF!</definedName>
    <definedName name="_xlnm.Database">'[1]By commodity'!$E$1:$E$14</definedName>
    <definedName name="Marke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6" i="3" l="1"/>
  <c r="C6" i="1" l="1"/>
  <c r="C7" i="1" l="1"/>
</calcChain>
</file>

<file path=xl/sharedStrings.xml><?xml version="1.0" encoding="utf-8"?>
<sst xmlns="http://schemas.openxmlformats.org/spreadsheetml/2006/main" count="1362" uniqueCount="366">
  <si>
    <t>DATA_DOMAIN</t>
  </si>
  <si>
    <t>REF_AREA</t>
  </si>
  <si>
    <t>COUNTERPART_AREA</t>
  </si>
  <si>
    <t>FREQ</t>
  </si>
  <si>
    <t>A</t>
  </si>
  <si>
    <t>UNIT_MULT</t>
  </si>
  <si>
    <t>INDICATOR</t>
  </si>
  <si>
    <t>Descriptor</t>
  </si>
  <si>
    <t>Country code</t>
  </si>
  <si>
    <t>Q</t>
  </si>
  <si>
    <t>M</t>
  </si>
  <si>
    <t>COMMENT</t>
  </si>
  <si>
    <t>Country</t>
  </si>
  <si>
    <t xml:space="preserve">Counterpart area </t>
  </si>
  <si>
    <t>Observation status</t>
  </si>
  <si>
    <t>Dataset</t>
  </si>
  <si>
    <t>2014-01</t>
  </si>
  <si>
    <t>2015-01</t>
  </si>
  <si>
    <t>2016-01</t>
  </si>
  <si>
    <t>2014-02</t>
  </si>
  <si>
    <t>2015-02</t>
  </si>
  <si>
    <t>2014-11</t>
  </si>
  <si>
    <t>2015-11</t>
  </si>
  <si>
    <t>2014-10</t>
  </si>
  <si>
    <t>2015-10</t>
  </si>
  <si>
    <t>2014-12</t>
  </si>
  <si>
    <t>2015-12</t>
  </si>
  <si>
    <t>2014-09</t>
  </si>
  <si>
    <t>2015-09</t>
  </si>
  <si>
    <t>2014-08</t>
  </si>
  <si>
    <t>2015-08</t>
  </si>
  <si>
    <t>2014-07</t>
  </si>
  <si>
    <t>2015-07</t>
  </si>
  <si>
    <t>2014-06</t>
  </si>
  <si>
    <t>2015-06</t>
  </si>
  <si>
    <t>2014-05</t>
  </si>
  <si>
    <t>2015-05</t>
  </si>
  <si>
    <t>2014-04</t>
  </si>
  <si>
    <t>2015-04</t>
  </si>
  <si>
    <t>2014-03</t>
  </si>
  <si>
    <t>2015-03</t>
  </si>
  <si>
    <t>_Z</t>
  </si>
  <si>
    <t>INR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</si>
  <si>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</si>
  <si>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</si>
  <si>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</si>
  <si>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</si>
  <si>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</si>
  <si>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</si>
  <si>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</si>
  <si>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</si>
  <si>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</si>
  <si>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</si>
  <si>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</si>
  <si>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</si>
  <si>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</si>
  <si>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</si>
  <si>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</si>
  <si>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</si>
  <si>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</si>
  <si>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</si>
  <si>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</si>
  <si>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</si>
  <si>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/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</si>
  <si>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</si>
  <si>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</si>
  <si>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</si>
  <si>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</si>
  <si>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</si>
  <si>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</si>
  <si>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</si>
  <si>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</si>
  <si>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</si>
  <si>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</si>
  <si>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</si>
  <si>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</si>
  <si>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</si>
  <si>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</si>
  <si>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</si>
  <si>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</si>
  <si>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</si>
  <si>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</si>
  <si>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</si>
  <si>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</si>
  <si>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</si>
  <si>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</si>
  <si>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</si>
  <si>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</si>
  <si>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</si>
  <si>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</si>
  <si>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</si>
  <si>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</si>
  <si>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</si>
  <si>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</si>
  <si>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</si>
  <si>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</si>
  <si>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</si>
  <si>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</si>
  <si>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</si>
  <si>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</si>
  <si>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</si>
  <si>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</si>
  <si>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</si>
  <si>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</si>
  <si>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</si>
  <si>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</si>
  <si>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</si>
  <si>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</si>
  <si>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</si>
  <si>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</si>
  <si>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</si>
  <si>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</si>
  <si>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</si>
  <si>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</si>
  <si>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</si>
  <si>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</si>
  <si>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</si>
  <si>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</si>
  <si>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</si>
  <si>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</si>
  <si>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</si>
  <si>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</si>
  <si>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</si>
  <si>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</si>
  <si>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</si>
  <si>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</si>
  <si>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</si>
  <si>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</si>
  <si>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</si>
  <si>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</si>
  <si>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</si>
  <si>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</si>
  <si>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</si>
  <si>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</si>
  <si>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</si>
  <si>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</si>
  <si>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</si>
  <si>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</si>
  <si>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</si>
  <si>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</si>
  <si>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</si>
  <si>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</si>
  <si>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</si>
  <si>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</si>
  <si>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</si>
  <si>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</si>
  <si>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</si>
  <si>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</si>
  <si>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</si>
  <si>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</si>
  <si>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</si>
  <si>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</si>
  <si>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</si>
  <si>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</si>
  <si>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</si>
  <si>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</si>
  <si>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</si>
  <si>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</si>
  <si>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</si>
  <si>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</si>
  <si>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</si>
  <si>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</si>
  <si>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</si>
  <si>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</si>
  <si>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</si>
  <si>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</si>
  <si>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</si>
  <si>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</si>
  <si>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</si>
  <si>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</si>
  <si>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</si>
  <si>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</si>
  <si>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</si>
  <si>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</si>
  <si>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</si>
  <si>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</si>
  <si>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</si>
  <si>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</si>
  <si>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</si>
  <si>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</si>
  <si>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</si>
  <si>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Published online</t>
  </si>
  <si>
    <t>AZ</t>
  </si>
  <si>
    <t>Table 3.1. CBA`s liquidity management - interest rate (end of period)</t>
  </si>
  <si>
    <t>Refinancing Interest Rate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</si>
  <si>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</si>
  <si>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</si>
  <si>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</si>
  <si>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</si>
  <si>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</si>
  <si>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</si>
  <si>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</si>
  <si>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</si>
  <si>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</si>
  <si>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</si>
  <si>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</si>
  <si>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</si>
  <si>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-</t>
  </si>
  <si>
    <t>On Deposits and Savings</t>
  </si>
  <si>
    <t>On Loans</t>
  </si>
  <si>
    <t>Average intrest rate in national currency</t>
  </si>
  <si>
    <t>Legal Entities in national currency</t>
  </si>
  <si>
    <t>Individuals in national currency</t>
  </si>
  <si>
    <t>up to 1 month in national currency</t>
  </si>
  <si>
    <t>from 1 month to 3 months in national currency</t>
  </si>
  <si>
    <t>from 3 months to 6 months in national currency</t>
  </si>
  <si>
    <t>from 6 month to 9 months in national currency</t>
  </si>
  <si>
    <t>from 9 month to 1 year in national currency</t>
  </si>
  <si>
    <t>from 1 year to 5 years in national currency</t>
  </si>
  <si>
    <t>over 5 years in national currency</t>
  </si>
  <si>
    <t>from 3 years to 5 years in national currency</t>
  </si>
  <si>
    <t>from 5 years to 10 years in national currency</t>
  </si>
  <si>
    <t>over 10 years in national currency</t>
  </si>
  <si>
    <t>till 30 days in national currency</t>
  </si>
  <si>
    <t>30-90 days in national currency</t>
  </si>
  <si>
    <t>90-180 days in national currency</t>
  </si>
  <si>
    <t>180-360 days in national currency</t>
  </si>
  <si>
    <t>over 1 year in national currency</t>
  </si>
  <si>
    <t>Legal Entities in foreign currency</t>
  </si>
  <si>
    <t>Average intrest rate in foreign currency</t>
  </si>
  <si>
    <t>over 5 years in foreign currency</t>
  </si>
  <si>
    <t>Individuals in foreign currency</t>
  </si>
  <si>
    <t>up to 1 month in foreign currency</t>
  </si>
  <si>
    <t>from 1 month to 3 months in foreign currency</t>
  </si>
  <si>
    <t>from 3 months to 6 months in foreign currency</t>
  </si>
  <si>
    <t>from 6 month to 9 months in foreign currency</t>
  </si>
  <si>
    <t>from 9 month to 1 year in foreign currency</t>
  </si>
  <si>
    <t>from 1 year to 5 years in foreign currency</t>
  </si>
  <si>
    <t>from 3 years to 5 years in foreign currency</t>
  </si>
  <si>
    <t>from 5 years to 10 years in foreign currency</t>
  </si>
  <si>
    <t>over 10 years in foreign currency</t>
  </si>
  <si>
    <t>till 30 days in foreign currency</t>
  </si>
  <si>
    <t>30-90 days in foreign currency</t>
  </si>
  <si>
    <t>90-180 days in foreign currency</t>
  </si>
  <si>
    <t>180-360 days in foreign currency</t>
  </si>
  <si>
    <t>over 1 year in foreign currency</t>
  </si>
  <si>
    <t xml:space="preserve"> -</t>
  </si>
  <si>
    <t>On Interbank Loans</t>
  </si>
  <si>
    <t xml:space="preserve"> - </t>
  </si>
  <si>
    <t>FIR_PA</t>
  </si>
  <si>
    <t>3.2 Average interest rates on deposits and loans in national currency</t>
  </si>
  <si>
    <t>3.2 Average interest rates on deposits and loans in foreign currency</t>
  </si>
  <si>
    <t>FIDSR_NC_PA</t>
  </si>
  <si>
    <t>FIDSR_LE_NC_PA</t>
  </si>
  <si>
    <t>FIDSR_IN_NC_PA</t>
  </si>
  <si>
    <t>FIDSR_1M_NC_PA</t>
  </si>
  <si>
    <t>FIDSR_1M_3M_NC_PA</t>
  </si>
  <si>
    <t>FIDSR_3M_6M_NC_PA</t>
  </si>
  <si>
    <t>FIDSR_6M_9M_NC_PA</t>
  </si>
  <si>
    <t>FIDSR_9M_1Y_NC_PA</t>
  </si>
  <si>
    <t>FIDSR_1Y_5Y_NC_PA</t>
  </si>
  <si>
    <t>FIDSR_O5Y_NC_PA</t>
  </si>
  <si>
    <t>FILR_L_NC_PA</t>
  </si>
  <si>
    <t>FIRL_L_LE_NC_PA</t>
  </si>
  <si>
    <t>FIRL_L_IN_NC_PA</t>
  </si>
  <si>
    <t>FIRL_L_1M_NC_PA</t>
  </si>
  <si>
    <t>FIRL_L_1M_3M_NC_PA</t>
  </si>
  <si>
    <t>FIRL_L_3M_6M_NC_PA</t>
  </si>
  <si>
    <t>FIRL_L_6M_9M_NC_PA</t>
  </si>
  <si>
    <t>FIRL_L_9M_1Y_NC_PA</t>
  </si>
  <si>
    <t>FIRL_L_1Y_5Y_NC_PA</t>
  </si>
  <si>
    <t>FIRL_L_3Y_5Y_NC_PA</t>
  </si>
  <si>
    <t>FIRL_L_5Y_10Y_NC_PA</t>
  </si>
  <si>
    <t>FIRL_L_O10Y_NC_PA</t>
  </si>
  <si>
    <t>FII_L_NC_PA</t>
  </si>
  <si>
    <t>FII_L_1M_NC_PA</t>
  </si>
  <si>
    <t>FII_L_1M_3M_NC_PA</t>
  </si>
  <si>
    <t>FII_L_3M_6M_NC_PA</t>
  </si>
  <si>
    <t>FII_L_6M_1Y_NC_PA</t>
  </si>
  <si>
    <t>FII_L_O1Y_NC_PA</t>
  </si>
  <si>
    <t>FIDSR_FX_PA</t>
  </si>
  <si>
    <t>FIDSR_LE_FX_PA</t>
  </si>
  <si>
    <t>FIDSR_IN_FX_PA</t>
  </si>
  <si>
    <t>FIDSR_1M_FX_PA</t>
  </si>
  <si>
    <t>FIDSR_1M_3M_FX_PA</t>
  </si>
  <si>
    <t>FIDSR_3M_6M_FX_PA</t>
  </si>
  <si>
    <t>FIDSR_6M_9M_FX_PA</t>
  </si>
  <si>
    <t>FIDSR_9M_1Y_FX_PA</t>
  </si>
  <si>
    <t>FIDSR_1Y_5Y_FX_PA</t>
  </si>
  <si>
    <t>FIDSR_O5Y_FX_PA</t>
  </si>
  <si>
    <t>FILR_L_FX_PA</t>
  </si>
  <si>
    <t>FIRL_L_LE_FX_PA</t>
  </si>
  <si>
    <t>FIRL_L_IN_FX_PA</t>
  </si>
  <si>
    <t>FIRL_L_1M_FX_PA</t>
  </si>
  <si>
    <t>FIRL_L_1M_3M_FX_PA</t>
  </si>
  <si>
    <t>FIRL_L_3M_6M_FX_PA</t>
  </si>
  <si>
    <t>FIRL_L_6M_9M_FX_PA</t>
  </si>
  <si>
    <t>FIRL_L_9M_1Y_FX_PA</t>
  </si>
  <si>
    <t>FIRL_L_1Y_5Y_FX_PA</t>
  </si>
  <si>
    <t>FIRL_L_3Y_5Y_FX_PA</t>
  </si>
  <si>
    <t>FIRL_L_5Y_10Y_FX_PA</t>
  </si>
  <si>
    <t>FIRL_L_O10Y_FX_PA</t>
  </si>
  <si>
    <t>FII_L_FX_PA</t>
  </si>
  <si>
    <t>FII_L_1M_FX_PA</t>
  </si>
  <si>
    <t>FII_L_1M_3M_FX_PA</t>
  </si>
  <si>
    <t>FII_L_3M_6M_FX_PA</t>
  </si>
  <si>
    <t>FII_L_6M_1Y_FX_PA</t>
  </si>
  <si>
    <t>FII_L_O1Y_FX_PA</t>
  </si>
  <si>
    <t>Published Online</t>
  </si>
  <si>
    <t>2019-01</t>
  </si>
  <si>
    <t>2019-02</t>
  </si>
  <si>
    <t>2019-03</t>
  </si>
  <si>
    <t>9</t>
  </si>
  <si>
    <t>2019-04</t>
  </si>
  <si>
    <t>2019-05</t>
  </si>
  <si>
    <t>2019-06</t>
  </si>
  <si>
    <t>2019-07</t>
  </si>
  <si>
    <t>2019-08</t>
  </si>
  <si>
    <t>2019-09</t>
  </si>
  <si>
    <t>8</t>
  </si>
  <si>
    <t>2019-10</t>
  </si>
  <si>
    <t>2019-11</t>
  </si>
  <si>
    <t>2019-12</t>
  </si>
  <si>
    <t>2020-01</t>
  </si>
  <si>
    <t>2020-02</t>
  </si>
  <si>
    <t>7,25</t>
  </si>
  <si>
    <t>2020-03</t>
  </si>
  <si>
    <t>2020-04</t>
  </si>
  <si>
    <t>2020-05</t>
  </si>
  <si>
    <t>2020-06</t>
  </si>
  <si>
    <t>2020-07</t>
  </si>
  <si>
    <t>6,75</t>
  </si>
  <si>
    <t>2020-08</t>
  </si>
  <si>
    <t>2020-09</t>
  </si>
  <si>
    <t>6,5</t>
  </si>
  <si>
    <t>2020-10</t>
  </si>
  <si>
    <t>2020-11</t>
  </si>
  <si>
    <t>2020-12</t>
  </si>
  <si>
    <t>6,25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</si>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</sst>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6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0.0"/>
    <numFmt numFmtId="166" formatCode="#,##0.0"/>
    <numFmt numFmtId="167" formatCode="#,##0.000"/>
    <numFmt numFmtId="168" formatCode="#,##0.0000"/>
    <numFmt numFmtId="169" formatCode="_-* #,##0.00_р_._-;\-* #,##0.00_р_._-;_-* &quot;-&quot;??_р_._-;_-@_-"/>
    <numFmt numFmtId="170" formatCode="General_)"/>
    <numFmt numFmtId="171" formatCode="0.0_)"/>
    <numFmt numFmtId="172" formatCode="0.00_)"/>
    <numFmt numFmtId="173" formatCode="#,##0.0_);\(#,##0.0\)"/>
    <numFmt numFmtId="174" formatCode="#.00"/>
    <numFmt numFmtId="175" formatCode="[$$-1009]#,##0.00;\-[$$-1009]#,##0.00"/>
    <numFmt numFmtId="176" formatCode="[$-409]d\-mmm\-yy;@"/>
    <numFmt numFmtId="177" formatCode="@\ *."/>
    <numFmt numFmtId="178" formatCode="&quot;   &quot;@"/>
    <numFmt numFmtId="179" formatCode="\ \ \ \ \ \ \ \ \ \ @\ *."/>
    <numFmt numFmtId="180" formatCode="\ \ \ \ \ \ \ \ \ \ \ \ @\ *."/>
    <numFmt numFmtId="181" formatCode="\ \ \ \ \ \ \ \ \ \ \ \ @"/>
    <numFmt numFmtId="182" formatCode="\ \ \ \ \ \ \ \ \ \ \ \ \ @\ *."/>
    <numFmt numFmtId="183" formatCode="\ @\ *."/>
    <numFmt numFmtId="184" formatCode="\ @"/>
    <numFmt numFmtId="185" formatCode="&quot;      &quot;@"/>
    <numFmt numFmtId="186" formatCode="\ \ @\ *."/>
    <numFmt numFmtId="187" formatCode="\ \ @"/>
    <numFmt numFmtId="188" formatCode="&quot;         &quot;@"/>
    <numFmt numFmtId="189" formatCode="\ \ \ @\ *."/>
    <numFmt numFmtId="190" formatCode="\ \ \ @"/>
    <numFmt numFmtId="191" formatCode="&quot;            &quot;@"/>
    <numFmt numFmtId="192" formatCode="\ \ \ \ @\ *."/>
    <numFmt numFmtId="193" formatCode="\ \ \ \ @"/>
    <numFmt numFmtId="194" formatCode="&quot;               &quot;@"/>
    <numFmt numFmtId="195" formatCode="\ \ \ \ \ \ @\ *."/>
    <numFmt numFmtId="196" formatCode="\ \ \ \ \ \ @"/>
    <numFmt numFmtId="197" formatCode="\ \ \ \ \ \ \ @\ *."/>
    <numFmt numFmtId="198" formatCode="\ \ \ \ \ \ \ \ \ @\ *."/>
    <numFmt numFmtId="199" formatCode="\ \ \ \ \ \ \ \ \ @"/>
    <numFmt numFmtId="200" formatCode="#\ ##0\ "/>
    <numFmt numFmtId="201" formatCode="_-[$CHF]\ \ #,##0.00_-;\-[$CHF]\ * #,##0.00_-;_-[$CHF]\ * &quot;-&quot;??_-;_-@_-"/>
    <numFmt numFmtId="202" formatCode="#,##0;[Red]\(#,##0\)"/>
    <numFmt numFmtId="203" formatCode="&quot;$&quot;#,##0\ ;\(&quot;$&quot;#,##0\)"/>
    <numFmt numFmtId="204" formatCode="_-&quot;$&quot;* #,##0_-;\-&quot;$&quot;* #,##0_-;_-&quot;$&quot;* &quot;-&quot;_-;_-@_-"/>
    <numFmt numFmtId="205" formatCode="[$DEM-4C0A]#,##0.00_ ;\-[$DEM-4C0A]#,##0.00\ "/>
    <numFmt numFmtId="206" formatCode="_-[$€-2]* #,##0.00_-;\-[$€-2]* #,##0.00_-;_-[$€-2]* &quot;-&quot;??_-"/>
    <numFmt numFmtId="207" formatCode="#,#00"/>
    <numFmt numFmtId="208" formatCode="[$JPY]\ #,##0.00;\-[$JPY]\ #,##0.00"/>
    <numFmt numFmtId="209" formatCode="_-* #,##0_-;\-* #,##0_-;_-* &quot;-&quot;_-;_-@_-"/>
    <numFmt numFmtId="210" formatCode="_-* #,##0.00_-;\-* #,##0.00_-;_-* &quot;-&quot;??_-;_-@_-"/>
    <numFmt numFmtId="211" formatCode="_-* #,##0\ _F_-;\-* #,##0\ _F_-;_-* &quot;-&quot;\ _F_-;_-@_-"/>
    <numFmt numFmtId="212" formatCode="_-* #,##0.00\ _F_-;\-* #,##0.00\ _F_-;_-* &quot;-&quot;??\ _F_-;_-@_-"/>
    <numFmt numFmtId="213" formatCode="_(&quot;R$&quot;* #,##0_);_(&quot;R$&quot;* \(#,##0\);_(&quot;R$&quot;* &quot;-&quot;_);_(@_)"/>
    <numFmt numFmtId="214" formatCode="_(&quot;R$&quot;* #,##0.00_);_(&quot;R$&quot;* \(#,##0.00\);_(&quot;R$&quot;* &quot;-&quot;??_);_(@_)"/>
    <numFmt numFmtId="215" formatCode="\$#,"/>
    <numFmt numFmtId="216" formatCode="_-&quot;$&quot;* #,##0.00_-;\-&quot;$&quot;* #,##0.00_-;_-&quot;$&quot;* &quot;-&quot;??_-;_-@_-"/>
    <numFmt numFmtId="217" formatCode="_-* #,##0\ &quot;F&quot;_-;\-* #,##0\ &quot;F&quot;_-;_-* &quot;-&quot;\ &quot;F&quot;_-;_-@_-"/>
    <numFmt numFmtId="218" formatCode="_-* #,##0.00\ &quot;F&quot;_-;\-* #,##0.00\ &quot;F&quot;_-;_-* &quot;-&quot;??\ &quot;F&quot;_-;_-@_-"/>
    <numFmt numFmtId="219" formatCode="ddd\ d\-mmm\-yy"/>
    <numFmt numFmtId="220" formatCode="[&gt;=0.05]#,##0.0;[&lt;=-0.05]\-#,##0.0;?0.0"/>
    <numFmt numFmtId="221" formatCode="#,##0_);[Red]\-#,##0_);"/>
    <numFmt numFmtId="222" formatCode="[&gt;=0.05]\(#,##0.0\);[&lt;=-0.05]\(\-#,##0.0\);\(\-\-\);\(@\)"/>
    <numFmt numFmtId="223" formatCode="[Black]#,##0.0;[Black]\-#,##0.0;;"/>
    <numFmt numFmtId="224" formatCode="[Black][&gt;0.05]#,##0.0;[Black][&lt;-0.05]\-#,##0.0;;"/>
    <numFmt numFmtId="225" formatCode="[Black][&gt;0.5]#,##0;[Black][&lt;-0.5]\-#,##0;;"/>
    <numFmt numFmtId="226" formatCode="%#,#00"/>
    <numFmt numFmtId="227" formatCode="#.##000"/>
    <numFmt numFmtId="228" formatCode="#,##0.0____"/>
    <numFmt numFmtId="229" formatCode="#\ ###\ ###\ ##0\ "/>
    <numFmt numFmtId="230" formatCode="#,##0.000000"/>
    <numFmt numFmtId="231" formatCode="#,"/>
    <numFmt numFmtId="232" formatCode="[$$-409]#,##0.00_ ;\-[$$-409]#,##0.00\ "/>
    <numFmt numFmtId="233" formatCode="\(\$#,###\)"/>
    <numFmt numFmtId="234" formatCode="#.##0,"/>
    <numFmt numFmtId="235" formatCode="General\ \ \ \ \ \ "/>
    <numFmt numFmtId="236" formatCode="0.0\ \ \ \ \ \ \ \ "/>
    <numFmt numFmtId="237" formatCode="mmmm\ yyyy"/>
    <numFmt numFmtId="238" formatCode="#,##0;[Red]\-#,##0"/>
    <numFmt numFmtId="239" formatCode="0.000_)"/>
    <numFmt numFmtId="240" formatCode="dd\-mmm_)"/>
    <numFmt numFmtId="241" formatCode="[&gt;0.5]#,##0;[&lt;-0.5]\-#,##0;\-\-&quot; &quot;;"/>
    <numFmt numFmtId="242" formatCode="_-* #,##0\ _L_._-;\-* #,##0\ _L_._-;_-* &quot;-&quot;\ _L_._-;_-@_-"/>
    <numFmt numFmtId="243" formatCode="_-* #,##0.00\ _L_._-;\-* #,##0.00\ _L_._-;_-* &quot;-&quot;??\ _L_._-;_-@_-"/>
    <numFmt numFmtId="244" formatCode="_ * #,##0_)\ _L_ ;_ * \(#,##0\)\ _L_ ;_ * &quot;-&quot;_)\ _L_ ;_ @_ "/>
    <numFmt numFmtId="245" formatCode="_ * #,##0.00_)\ _L_ ;_ * \(#,##0.00\)\ _L_ ;_ * &quot;-&quot;??_)\ _L_ ;_ @_ "/>
    <numFmt numFmtId="246" formatCode="_([$€-2]* #,##0.00_);_([$€-2]* \(#,##0.00\);_([$€-2]* &quot;-&quot;??_)"/>
    <numFmt numFmtId="247" formatCode="_-&quot;£&quot;* #,##0_-;\-&quot;£&quot;* #,##0_-;_-&quot;£&quot;* &quot;-&quot;_-;_-@_-"/>
  </numFmts>
  <fonts count="17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0"/>
      <name val="Times New Roman"/>
      <family val="1"/>
    </font>
    <font>
      <sz val="10"/>
      <name val="Arial Cyr"/>
      <charset val="204"/>
    </font>
    <font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9"/>
      <name val="Times New Roman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name val="Tms Rmn"/>
    </font>
    <font>
      <sz val="10"/>
      <name val="Tms Rmn"/>
    </font>
    <font>
      <sz val="10"/>
      <name val="Helv"/>
    </font>
    <font>
      <sz val="12"/>
      <name val="Helv"/>
    </font>
    <font>
      <b/>
      <i/>
      <sz val="1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Tms Rmn"/>
    </font>
    <font>
      <sz val="12"/>
      <name val="Times New Roman"/>
      <family val="1"/>
      <charset val="204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u/>
      <sz val="10"/>
      <color theme="10"/>
      <name val="Courier"/>
      <family val="3"/>
    </font>
    <font>
      <u/>
      <sz val="10"/>
      <color theme="10"/>
      <name val="Times New Roman"/>
      <family val="1"/>
    </font>
    <font>
      <u/>
      <sz val="11"/>
      <color theme="10"/>
      <name val="Calibri"/>
      <family val="2"/>
    </font>
    <font>
      <sz val="7"/>
      <name val="Letter Gothic CE"/>
      <family val="3"/>
      <charset val="238"/>
    </font>
    <font>
      <sz val="11"/>
      <color indexed="8"/>
      <name val="Calibri"/>
      <family val="2"/>
    </font>
    <font>
      <sz val="7"/>
      <name val="Arial"/>
      <family val="2"/>
    </font>
    <font>
      <sz val="11"/>
      <color indexed="9"/>
      <name val="Calibri"/>
      <family val="2"/>
    </font>
    <font>
      <sz val="8"/>
      <color indexed="12"/>
      <name val="Helv"/>
    </font>
    <font>
      <sz val="10"/>
      <name val="Geneva"/>
      <family val="2"/>
    </font>
    <font>
      <sz val="8"/>
      <color indexed="12"/>
      <name val="Helv"/>
      <family val="2"/>
    </font>
    <font>
      <sz val="11"/>
      <color indexed="20"/>
      <name val="Calibri"/>
      <family val="2"/>
    </font>
    <font>
      <sz val="8"/>
      <name val="SwitzerlandLight"/>
    </font>
    <font>
      <sz val="7"/>
      <name val="Times New Roman"/>
      <family val="1"/>
    </font>
    <font>
      <i/>
      <sz val="1"/>
      <color indexed="8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b/>
      <sz val="10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3"/>
      <color indexed="9"/>
      <name val="Verdana"/>
      <family val="2"/>
    </font>
    <font>
      <sz val="10"/>
      <color indexed="54"/>
      <name val="Verdana"/>
      <family val="2"/>
    </font>
    <font>
      <sz val="11"/>
      <color indexed="8"/>
      <name val="Arial"/>
      <family val="2"/>
    </font>
    <font>
      <sz val="12"/>
      <name val="Times"/>
      <family val="1"/>
    </font>
    <font>
      <sz val="10"/>
      <color indexed="24"/>
      <name val="Times New Roman"/>
      <family val="1"/>
    </font>
    <font>
      <sz val="8"/>
      <name val="Tahoma"/>
      <family val="2"/>
    </font>
    <font>
      <sz val="8"/>
      <name val="Arial Cyr"/>
      <charset val="204"/>
    </font>
    <font>
      <b/>
      <sz val="9"/>
      <name val="Arial"/>
      <family val="2"/>
    </font>
    <font>
      <sz val="9"/>
      <name val="Tms Rmn"/>
    </font>
    <font>
      <i/>
      <sz val="11"/>
      <color indexed="23"/>
      <name val="Calibri"/>
      <family val="2"/>
    </font>
    <font>
      <sz val="12"/>
      <name val="Arial CE"/>
      <family val="2"/>
      <charset val="238"/>
    </font>
    <font>
      <sz val="14"/>
      <name val="Helv"/>
    </font>
    <font>
      <vertAlign val="superscript"/>
      <sz val="11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Times New Roman CE"/>
      <charset val="238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12"/>
      <color indexed="12"/>
      <name val="Times New Roman"/>
      <family val="1"/>
    </font>
    <font>
      <u/>
      <sz val="9"/>
      <color indexed="12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36"/>
      <name val="Arial"/>
      <family val="2"/>
    </font>
    <font>
      <sz val="11"/>
      <color indexed="62"/>
      <name val="Calibri"/>
      <family val="2"/>
    </font>
    <font>
      <u/>
      <sz val="7.5"/>
      <color indexed="12"/>
      <name val="Tms Rmn"/>
    </font>
    <font>
      <u/>
      <sz val="7.5"/>
      <color indexed="36"/>
      <name val="Tms Rmn"/>
    </font>
    <font>
      <u/>
      <sz val="10"/>
      <color indexed="12"/>
      <name val="MS Sans Serif"/>
      <family val="2"/>
    </font>
    <font>
      <sz val="11"/>
      <color indexed="52"/>
      <name val="Calibri"/>
      <family val="2"/>
    </font>
    <font>
      <sz val="8"/>
      <color indexed="8"/>
      <name val="Helv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u/>
      <sz val="10"/>
      <color indexed="36"/>
      <name val="Times New Roman CE"/>
      <charset val="238"/>
    </font>
    <font>
      <sz val="10"/>
      <color indexed="8"/>
      <name val="جيزة"/>
      <charset val="178"/>
    </font>
    <font>
      <sz val="9"/>
      <name val="Arial"/>
      <family val="2"/>
    </font>
    <font>
      <sz val="10"/>
      <name val="Arial CE"/>
      <charset val="238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Arial"/>
      <family val="2"/>
    </font>
    <font>
      <sz val="10"/>
      <name val="Calibri"/>
      <family val="2"/>
    </font>
    <font>
      <sz val="10"/>
      <name val="Times"/>
      <family val="1"/>
    </font>
    <font>
      <sz val="12"/>
      <color theme="1"/>
      <name val="Arial"/>
      <family val="2"/>
    </font>
    <font>
      <i/>
      <sz val="10"/>
      <name val="Helv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sz val="8"/>
      <name val="Helv"/>
    </font>
    <font>
      <sz val="9"/>
      <name val="Helvetica"/>
      <family val="2"/>
    </font>
    <font>
      <sz val="10"/>
      <name val="MS Sans Serif"/>
      <family val="2"/>
    </font>
    <font>
      <b/>
      <sz val="10"/>
      <name val="Tms Rmn"/>
    </font>
    <font>
      <sz val="10"/>
      <name val="Tms Rmn"/>
      <family val="1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Tms Rmn"/>
    </font>
    <font>
      <sz val="11"/>
      <color indexed="10"/>
      <name val="Calibri"/>
      <family val="2"/>
    </font>
    <font>
      <sz val="12"/>
      <name val="Comic Sans MS"/>
      <family val="4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u/>
      <sz val="10"/>
      <color indexed="36"/>
      <name val="Arial Cyr"/>
      <charset val="204"/>
    </font>
    <font>
      <sz val="12"/>
      <name val="新細明體"/>
      <family val="1"/>
      <charset val="136"/>
    </font>
    <font>
      <sz val="10"/>
      <name val="Times New Roman"/>
      <family val="1"/>
      <charset val="162"/>
    </font>
    <font>
      <sz val="10"/>
      <name val="Helv"/>
      <charset val="204"/>
    </font>
    <font>
      <sz val="12"/>
      <color indexed="24"/>
      <name val="Arial"/>
      <family val="2"/>
    </font>
    <font>
      <sz val="10"/>
      <name val="Literaturuly"/>
      <family val="2"/>
    </font>
    <font>
      <b/>
      <sz val="12"/>
      <color indexed="24"/>
      <name val="Arial"/>
      <family val="2"/>
    </font>
    <font>
      <sz val="10"/>
      <name val="Arial Cyr"/>
    </font>
    <font>
      <sz val="10"/>
      <name val="Helv"/>
      <family val="2"/>
    </font>
    <font>
      <sz val="12"/>
      <name val="Helv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i/>
      <sz val="10"/>
      <color indexed="8"/>
      <name val="Verdana"/>
      <family val="2"/>
    </font>
    <font>
      <b/>
      <sz val="10"/>
      <color indexed="54"/>
      <name val="Verdana"/>
      <family val="2"/>
    </font>
    <font>
      <u/>
      <sz val="7.2"/>
      <color indexed="12"/>
      <name val="Helv"/>
    </font>
    <font>
      <u/>
      <sz val="7.2"/>
      <color indexed="36"/>
      <name val="Helv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name val="Times New Roman"/>
      <family val="1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966">
    <xf numFmtId="0" fontId="0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12" fillId="0" borderId="0"/>
    <xf numFmtId="0" fontId="6" fillId="0" borderId="0"/>
    <xf numFmtId="0" fontId="5" fillId="0" borderId="0"/>
    <xf numFmtId="0" fontId="3" fillId="0" borderId="0"/>
    <xf numFmtId="0" fontId="3" fillId="0" borderId="0"/>
    <xf numFmtId="0" fontId="12" fillId="0" borderId="0"/>
    <xf numFmtId="0" fontId="13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16" applyNumberFormat="0" applyAlignment="0" applyProtection="0"/>
    <xf numFmtId="0" fontId="21" fillId="10" borderId="17" applyNumberFormat="0" applyAlignment="0" applyProtection="0"/>
    <xf numFmtId="0" fontId="22" fillId="10" borderId="16" applyNumberFormat="0" applyAlignment="0" applyProtection="0"/>
    <xf numFmtId="0" fontId="23" fillId="0" borderId="18" applyNumberFormat="0" applyFill="0" applyAlignment="0" applyProtection="0"/>
    <xf numFmtId="0" fontId="24" fillId="11" borderId="19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21" applyNumberFormat="0" applyFill="0" applyAlignment="0" applyProtection="0"/>
    <xf numFmtId="0" fontId="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9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12" fillId="0" borderId="0"/>
    <xf numFmtId="0" fontId="12" fillId="0" borderId="0"/>
    <xf numFmtId="0" fontId="12" fillId="0" borderId="0"/>
    <xf numFmtId="43" fontId="2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>
      <alignment vertical="top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1" fillId="0" borderId="0"/>
    <xf numFmtId="43" fontId="2" fillId="0" borderId="0" applyFont="0" applyFill="0" applyBorder="0" applyAlignment="0" applyProtection="0"/>
    <xf numFmtId="0" fontId="2" fillId="0" borderId="0"/>
    <xf numFmtId="0" fontId="2" fillId="12" borderId="20" applyNumberFormat="0" applyFont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41" fillId="0" borderId="0">
      <protection locked="0"/>
    </xf>
    <xf numFmtId="174" fontId="4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3" fillId="0" borderId="0"/>
    <xf numFmtId="0" fontId="44" fillId="0" borderId="0"/>
    <xf numFmtId="0" fontId="44" fillId="0" borderId="0"/>
    <xf numFmtId="0" fontId="33" fillId="0" borderId="0"/>
    <xf numFmtId="0" fontId="33" fillId="0" borderId="0"/>
    <xf numFmtId="0" fontId="33" fillId="0" borderId="0"/>
    <xf numFmtId="0" fontId="52" fillId="0" borderId="0"/>
    <xf numFmtId="0" fontId="45" fillId="0" borderId="0"/>
    <xf numFmtId="0" fontId="40" fillId="0" borderId="0"/>
    <xf numFmtId="0" fontId="46" fillId="0" borderId="0"/>
    <xf numFmtId="0" fontId="41" fillId="0" borderId="25">
      <protection locked="0"/>
    </xf>
    <xf numFmtId="175" fontId="31" fillId="0" borderId="0" applyNumberFormat="0" applyFill="0" applyBorder="0" applyAlignment="0" applyProtection="0"/>
    <xf numFmtId="170" fontId="54" fillId="0" borderId="0"/>
    <xf numFmtId="175" fontId="31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175" fontId="57" fillId="0" borderId="0" applyNumberFormat="0" applyFill="0" applyBorder="0" applyAlignment="0" applyProtection="0">
      <alignment vertical="top"/>
      <protection locked="0"/>
    </xf>
    <xf numFmtId="0" fontId="2" fillId="0" borderId="0"/>
    <xf numFmtId="176" fontId="30" fillId="0" borderId="0">
      <alignment vertical="top"/>
    </xf>
    <xf numFmtId="176" fontId="12" fillId="0" borderId="0"/>
    <xf numFmtId="176" fontId="30" fillId="0" borderId="0">
      <alignment vertical="top"/>
    </xf>
    <xf numFmtId="177" fontId="50" fillId="0" borderId="0"/>
    <xf numFmtId="177" fontId="50" fillId="0" borderId="0"/>
    <xf numFmtId="49" fontId="50" fillId="0" borderId="0"/>
    <xf numFmtId="49" fontId="50" fillId="0" borderId="0"/>
    <xf numFmtId="178" fontId="40" fillId="0" borderId="0" applyFont="0" applyFill="0" applyBorder="0" applyAlignment="0" applyProtection="0"/>
    <xf numFmtId="178" fontId="40" fillId="0" borderId="0" applyFont="0" applyFill="0" applyBorder="0" applyAlignment="0" applyProtection="0"/>
    <xf numFmtId="179" fontId="50" fillId="0" borderId="0">
      <alignment horizontal="center"/>
    </xf>
    <xf numFmtId="179" fontId="50" fillId="0" borderId="0">
      <alignment horizontal="center"/>
    </xf>
    <xf numFmtId="180" fontId="50" fillId="0" borderId="0"/>
    <xf numFmtId="180" fontId="50" fillId="0" borderId="0"/>
    <xf numFmtId="181" fontId="50" fillId="0" borderId="0"/>
    <xf numFmtId="181" fontId="50" fillId="0" borderId="0"/>
    <xf numFmtId="182" fontId="50" fillId="0" borderId="0"/>
    <xf numFmtId="182" fontId="50" fillId="0" borderId="0"/>
    <xf numFmtId="183" fontId="50" fillId="0" borderId="0"/>
    <xf numFmtId="183" fontId="50" fillId="0" borderId="0"/>
    <xf numFmtId="184" fontId="58" fillId="0" borderId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0" borderId="0" applyNumberFormat="0" applyBorder="0" applyAlignment="0" applyProtection="0"/>
    <xf numFmtId="0" fontId="59" fillId="40" borderId="0" applyNumberFormat="0" applyBorder="0" applyAlignment="0" applyProtection="0"/>
    <xf numFmtId="175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1" borderId="0" applyNumberFormat="0" applyBorder="0" applyAlignment="0" applyProtection="0"/>
    <xf numFmtId="0" fontId="59" fillId="41" borderId="0" applyNumberFormat="0" applyBorder="0" applyAlignment="0" applyProtection="0"/>
    <xf numFmtId="175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2" borderId="0" applyNumberFormat="0" applyBorder="0" applyAlignment="0" applyProtection="0"/>
    <xf numFmtId="0" fontId="59" fillId="42" borderId="0" applyNumberFormat="0" applyBorder="0" applyAlignment="0" applyProtection="0"/>
    <xf numFmtId="175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4" borderId="0" applyNumberFormat="0" applyBorder="0" applyAlignment="0" applyProtection="0"/>
    <xf numFmtId="0" fontId="59" fillId="44" borderId="0" applyNumberFormat="0" applyBorder="0" applyAlignment="0" applyProtection="0"/>
    <xf numFmtId="175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75" fontId="59" fillId="45" borderId="0" applyNumberFormat="0" applyBorder="0" applyAlignment="0" applyProtection="0"/>
    <xf numFmtId="0" fontId="59" fillId="45" borderId="0" applyNumberFormat="0" applyBorder="0" applyAlignment="0" applyProtection="0"/>
    <xf numFmtId="186" fontId="60" fillId="0" borderId="0"/>
    <xf numFmtId="187" fontId="58" fillId="0" borderId="0"/>
    <xf numFmtId="188" fontId="40" fillId="0" borderId="0" applyFont="0" applyFill="0" applyBorder="0" applyAlignment="0" applyProtection="0"/>
    <xf numFmtId="188" fontId="40" fillId="0" borderId="0" applyFont="0" applyFill="0" applyBorder="0" applyAlignment="0" applyProtection="0"/>
    <xf numFmtId="189" fontId="50" fillId="0" borderId="0"/>
    <xf numFmtId="189" fontId="50" fillId="0" borderId="0"/>
    <xf numFmtId="190" fontId="50" fillId="0" borderId="0"/>
    <xf numFmtId="190" fontId="50" fillId="0" borderId="0"/>
    <xf numFmtId="191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75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7" borderId="0" applyNumberFormat="0" applyBorder="0" applyAlignment="0" applyProtection="0"/>
    <xf numFmtId="0" fontId="59" fillId="47" borderId="0" applyNumberFormat="0" applyBorder="0" applyAlignment="0" applyProtection="0"/>
    <xf numFmtId="175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8" borderId="0" applyNumberFormat="0" applyBorder="0" applyAlignment="0" applyProtection="0"/>
    <xf numFmtId="0" fontId="59" fillId="48" borderId="0" applyNumberFormat="0" applyBorder="0" applyAlignment="0" applyProtection="0"/>
    <xf numFmtId="175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3" borderId="0" applyNumberFormat="0" applyBorder="0" applyAlignment="0" applyProtection="0"/>
    <xf numFmtId="0" fontId="59" fillId="43" borderId="0" applyNumberFormat="0" applyBorder="0" applyAlignment="0" applyProtection="0"/>
    <xf numFmtId="175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6" borderId="0" applyNumberFormat="0" applyBorder="0" applyAlignment="0" applyProtection="0"/>
    <xf numFmtId="0" fontId="59" fillId="46" borderId="0" applyNumberFormat="0" applyBorder="0" applyAlignment="0" applyProtection="0"/>
    <xf numFmtId="175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75" fontId="59" fillId="49" borderId="0" applyNumberFormat="0" applyBorder="0" applyAlignment="0" applyProtection="0"/>
    <xf numFmtId="0" fontId="59" fillId="49" borderId="0" applyNumberFormat="0" applyBorder="0" applyAlignment="0" applyProtection="0"/>
    <xf numFmtId="192" fontId="50" fillId="0" borderId="0"/>
    <xf numFmtId="192" fontId="50" fillId="0" borderId="0"/>
    <xf numFmtId="193" fontId="58" fillId="0" borderId="0"/>
    <xf numFmtId="194" fontId="40" fillId="0" borderId="0" applyFont="0" applyFill="0" applyBorder="0" applyAlignment="0" applyProtection="0"/>
    <xf numFmtId="194" fontId="40" fillId="0" borderId="0" applyFont="0" applyFill="0" applyBorder="0" applyAlignment="0" applyProtection="0"/>
    <xf numFmtId="175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50" borderId="0" applyNumberFormat="0" applyBorder="0" applyAlignment="0" applyProtection="0"/>
    <xf numFmtId="0" fontId="61" fillId="50" borderId="0" applyNumberFormat="0" applyBorder="0" applyAlignment="0" applyProtection="0"/>
    <xf numFmtId="175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7" borderId="0" applyNumberFormat="0" applyBorder="0" applyAlignment="0" applyProtection="0"/>
    <xf numFmtId="0" fontId="61" fillId="47" borderId="0" applyNumberFormat="0" applyBorder="0" applyAlignment="0" applyProtection="0"/>
    <xf numFmtId="175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48" borderId="0" applyNumberFormat="0" applyBorder="0" applyAlignment="0" applyProtection="0"/>
    <xf numFmtId="0" fontId="61" fillId="48" borderId="0" applyNumberFormat="0" applyBorder="0" applyAlignment="0" applyProtection="0"/>
    <xf numFmtId="175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75" fontId="61" fillId="53" borderId="0" applyNumberFormat="0" applyBorder="0" applyAlignment="0" applyProtection="0"/>
    <xf numFmtId="0" fontId="61" fillId="53" borderId="0" applyNumberFormat="0" applyBorder="0" applyAlignment="0" applyProtection="0"/>
    <xf numFmtId="195" fontId="50" fillId="0" borderId="0">
      <alignment horizontal="center"/>
    </xf>
    <xf numFmtId="195" fontId="50" fillId="0" borderId="0">
      <alignment horizontal="center"/>
    </xf>
    <xf numFmtId="196" fontId="50" fillId="0" borderId="0">
      <alignment horizontal="center"/>
    </xf>
    <xf numFmtId="196" fontId="50" fillId="0" borderId="0">
      <alignment horizontal="center"/>
    </xf>
    <xf numFmtId="197" fontId="50" fillId="0" borderId="0">
      <alignment horizontal="center"/>
    </xf>
    <xf numFmtId="197" fontId="50" fillId="0" borderId="0">
      <alignment horizontal="center"/>
    </xf>
    <xf numFmtId="198" fontId="50" fillId="0" borderId="0">
      <alignment horizontal="center"/>
    </xf>
    <xf numFmtId="198" fontId="50" fillId="0" borderId="0">
      <alignment horizontal="center"/>
    </xf>
    <xf numFmtId="199" fontId="50" fillId="0" borderId="0">
      <alignment horizontal="center"/>
    </xf>
    <xf numFmtId="199" fontId="50" fillId="0" borderId="0">
      <alignment horizontal="center"/>
    </xf>
    <xf numFmtId="175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4" borderId="0" applyNumberFormat="0" applyBorder="0" applyAlignment="0" applyProtection="0"/>
    <xf numFmtId="0" fontId="61" fillId="54" borderId="0" applyNumberFormat="0" applyBorder="0" applyAlignment="0" applyProtection="0"/>
    <xf numFmtId="175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5" borderId="0" applyNumberFormat="0" applyBorder="0" applyAlignment="0" applyProtection="0"/>
    <xf numFmtId="0" fontId="61" fillId="55" borderId="0" applyNumberFormat="0" applyBorder="0" applyAlignment="0" applyProtection="0"/>
    <xf numFmtId="175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6" borderId="0" applyNumberFormat="0" applyBorder="0" applyAlignment="0" applyProtection="0"/>
    <xf numFmtId="0" fontId="61" fillId="56" borderId="0" applyNumberFormat="0" applyBorder="0" applyAlignment="0" applyProtection="0"/>
    <xf numFmtId="175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1" borderId="0" applyNumberFormat="0" applyBorder="0" applyAlignment="0" applyProtection="0"/>
    <xf numFmtId="0" fontId="61" fillId="51" borderId="0" applyNumberFormat="0" applyBorder="0" applyAlignment="0" applyProtection="0"/>
    <xf numFmtId="175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2" borderId="0" applyNumberFormat="0" applyBorder="0" applyAlignment="0" applyProtection="0"/>
    <xf numFmtId="0" fontId="61" fillId="52" borderId="0" applyNumberFormat="0" applyBorder="0" applyAlignment="0" applyProtection="0"/>
    <xf numFmtId="175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61" fillId="57" borderId="0" applyNumberFormat="0" applyBorder="0" applyAlignment="0" applyProtection="0"/>
    <xf numFmtId="0" fontId="61" fillId="57" borderId="0" applyNumberFormat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5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5" fontId="44" fillId="0" borderId="0" applyNumberFormat="0" applyFill="0" applyBorder="0" applyAlignment="0" applyProtection="0"/>
    <xf numFmtId="175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31" fillId="0" borderId="27">
      <alignment horizontal="center" vertical="center"/>
    </xf>
    <xf numFmtId="176" fontId="48" fillId="0" borderId="0">
      <alignment horizontal="left" wrapText="1"/>
    </xf>
    <xf numFmtId="176" fontId="62" fillId="0" borderId="30">
      <protection hidden="1"/>
    </xf>
    <xf numFmtId="176" fontId="63" fillId="58" borderId="30" applyNumberFormat="0" applyFont="0" applyBorder="0" applyAlignment="0" applyProtection="0">
      <protection hidden="1"/>
    </xf>
    <xf numFmtId="176" fontId="64" fillId="0" borderId="30">
      <protection hidden="1"/>
    </xf>
    <xf numFmtId="170" fontId="54" fillId="0" borderId="31"/>
    <xf numFmtId="175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5" fontId="65" fillId="41" borderId="0" applyNumberFormat="0" applyBorder="0" applyAlignment="0" applyProtection="0"/>
    <xf numFmtId="0" fontId="65" fillId="41" borderId="0" applyNumberFormat="0" applyBorder="0" applyAlignment="0" applyProtection="0"/>
    <xf numFmtId="170" fontId="66" fillId="0" borderId="0">
      <alignment vertical="top"/>
    </xf>
    <xf numFmtId="170" fontId="67" fillId="0" borderId="0">
      <alignment horizontal="right"/>
    </xf>
    <xf numFmtId="200" fontId="67" fillId="0" borderId="0" applyFill="0" applyBorder="0" applyProtection="0"/>
    <xf numFmtId="200" fontId="67" fillId="0" borderId="0" applyFill="0" applyBorder="0" applyProtection="0"/>
    <xf numFmtId="170" fontId="67" fillId="0" borderId="0">
      <alignment horizontal="right"/>
    </xf>
    <xf numFmtId="200" fontId="67" fillId="0" borderId="0" applyFill="0" applyBorder="0" applyProtection="0"/>
    <xf numFmtId="200" fontId="67" fillId="0" borderId="0" applyFill="0" applyBorder="0" applyProtection="0"/>
    <xf numFmtId="200" fontId="67" fillId="0" borderId="0" applyFill="0" applyBorder="0" applyProtection="0"/>
    <xf numFmtId="200" fontId="67" fillId="0" borderId="0" applyFill="0" applyBorder="0" applyProtection="0"/>
    <xf numFmtId="200" fontId="67" fillId="0" borderId="0" applyFill="0" applyBorder="0" applyProtection="0"/>
    <xf numFmtId="200" fontId="67" fillId="0" borderId="0" applyFill="0" applyBorder="0" applyProtection="0"/>
    <xf numFmtId="200" fontId="67" fillId="0" borderId="0" applyFill="0" applyBorder="0" applyProtection="0"/>
    <xf numFmtId="200" fontId="67" fillId="0" borderId="0" applyFill="0" applyBorder="0" applyProtection="0"/>
    <xf numFmtId="170" fontId="67" fillId="0" borderId="0">
      <alignment horizontal="left"/>
    </xf>
    <xf numFmtId="170" fontId="67" fillId="0" borderId="0">
      <alignment horizontal="left"/>
    </xf>
    <xf numFmtId="175" fontId="67" fillId="0" borderId="0">
      <alignment horizontal="left"/>
    </xf>
    <xf numFmtId="175" fontId="67" fillId="0" borderId="0">
      <alignment horizontal="left"/>
    </xf>
    <xf numFmtId="175" fontId="67" fillId="0" borderId="0">
      <alignment horizontal="left"/>
    </xf>
    <xf numFmtId="175" fontId="67" fillId="0" borderId="0">
      <alignment horizontal="left"/>
    </xf>
    <xf numFmtId="175" fontId="67" fillId="0" borderId="0">
      <alignment horizontal="left"/>
    </xf>
    <xf numFmtId="175" fontId="67" fillId="0" borderId="0">
      <alignment horizontal="left"/>
    </xf>
    <xf numFmtId="2" fontId="41" fillId="0" borderId="0">
      <protection locked="0"/>
    </xf>
    <xf numFmtId="2" fontId="68" fillId="0" borderId="0">
      <protection locked="0"/>
    </xf>
    <xf numFmtId="175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69" fillId="58" borderId="32" applyNumberFormat="0" applyAlignment="0" applyProtection="0"/>
    <xf numFmtId="0" fontId="69" fillId="58" borderId="32" applyNumberFormat="0" applyAlignment="0" applyProtection="0"/>
    <xf numFmtId="175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70" fillId="59" borderId="33" applyNumberFormat="0" applyAlignment="0" applyProtection="0"/>
    <xf numFmtId="0" fontId="70" fillId="59" borderId="33" applyNumberFormat="0" applyAlignment="0" applyProtection="0"/>
    <xf numFmtId="175" fontId="48" fillId="0" borderId="0"/>
    <xf numFmtId="201" fontId="48" fillId="0" borderId="0"/>
    <xf numFmtId="202" fontId="12" fillId="0" borderId="0"/>
    <xf numFmtId="176" fontId="71" fillId="37" borderId="24">
      <alignment horizontal="right" vertical="center"/>
    </xf>
    <xf numFmtId="3" fontId="71" fillId="37" borderId="24">
      <alignment horizontal="right" vertical="center" indent="1"/>
    </xf>
    <xf numFmtId="166" fontId="71" fillId="37" borderId="24">
      <alignment horizontal="right" vertical="center" indent="1"/>
    </xf>
    <xf numFmtId="4" fontId="71" fillId="37" borderId="24">
      <alignment horizontal="right" vertical="center" indent="1"/>
    </xf>
    <xf numFmtId="167" fontId="71" fillId="37" borderId="24">
      <alignment horizontal="right" vertical="center" indent="1"/>
    </xf>
    <xf numFmtId="168" fontId="71" fillId="37" borderId="24">
      <alignment horizontal="right" vertical="center" indent="1"/>
    </xf>
    <xf numFmtId="176" fontId="72" fillId="37" borderId="24">
      <alignment horizontal="right" vertical="center"/>
    </xf>
    <xf numFmtId="3" fontId="72" fillId="37" borderId="24">
      <alignment horizontal="right" vertical="center" indent="1"/>
    </xf>
    <xf numFmtId="166" fontId="72" fillId="37" borderId="24">
      <alignment horizontal="right" vertical="center" indent="1"/>
    </xf>
    <xf numFmtId="4" fontId="72" fillId="37" borderId="24">
      <alignment horizontal="right" vertical="center" indent="1"/>
    </xf>
    <xf numFmtId="167" fontId="72" fillId="37" borderId="24">
      <alignment horizontal="right" vertical="center" indent="1"/>
    </xf>
    <xf numFmtId="168" fontId="72" fillId="37" borderId="24">
      <alignment horizontal="right" vertical="center" indent="1"/>
    </xf>
    <xf numFmtId="176" fontId="12" fillId="37" borderId="34"/>
    <xf numFmtId="176" fontId="73" fillId="39" borderId="24">
      <alignment horizontal="center" vertical="center"/>
    </xf>
    <xf numFmtId="176" fontId="71" fillId="37" borderId="24">
      <alignment horizontal="right" vertical="center"/>
    </xf>
    <xf numFmtId="3" fontId="71" fillId="37" borderId="24">
      <alignment horizontal="right" vertical="center" indent="1"/>
    </xf>
    <xf numFmtId="166" fontId="71" fillId="37" borderId="24">
      <alignment horizontal="right" vertical="center" indent="1"/>
    </xf>
    <xf numFmtId="4" fontId="71" fillId="37" borderId="24">
      <alignment horizontal="right" vertical="center" indent="1"/>
    </xf>
    <xf numFmtId="167" fontId="71" fillId="37" borderId="24">
      <alignment horizontal="right" vertical="center" indent="1"/>
    </xf>
    <xf numFmtId="168" fontId="71" fillId="37" borderId="24">
      <alignment horizontal="right" vertical="center" indent="1"/>
    </xf>
    <xf numFmtId="176" fontId="12" fillId="37" borderId="0"/>
    <xf numFmtId="176" fontId="74" fillId="37" borderId="24">
      <alignment horizontal="left" vertical="center"/>
    </xf>
    <xf numFmtId="176" fontId="74" fillId="37" borderId="35">
      <alignment vertical="center"/>
    </xf>
    <xf numFmtId="176" fontId="75" fillId="37" borderId="36">
      <alignment vertical="center"/>
    </xf>
    <xf numFmtId="176" fontId="74" fillId="37" borderId="24"/>
    <xf numFmtId="176" fontId="72" fillId="37" borderId="24">
      <alignment horizontal="right" vertical="center"/>
    </xf>
    <xf numFmtId="3" fontId="72" fillId="37" borderId="24">
      <alignment horizontal="right" vertical="center" indent="1"/>
    </xf>
    <xf numFmtId="166" fontId="72" fillId="37" borderId="24">
      <alignment horizontal="right" vertical="center" indent="1"/>
    </xf>
    <xf numFmtId="4" fontId="72" fillId="37" borderId="24">
      <alignment horizontal="right" vertical="center" indent="1"/>
    </xf>
    <xf numFmtId="167" fontId="72" fillId="37" borderId="24">
      <alignment horizontal="right" vertical="center" indent="1"/>
    </xf>
    <xf numFmtId="168" fontId="72" fillId="37" borderId="24">
      <alignment horizontal="right" vertical="center" indent="1"/>
    </xf>
    <xf numFmtId="176" fontId="76" fillId="60" borderId="24">
      <alignment horizontal="left" vertical="center"/>
    </xf>
    <xf numFmtId="176" fontId="76" fillId="60" borderId="24">
      <alignment horizontal="left" vertical="center"/>
    </xf>
    <xf numFmtId="176" fontId="77" fillId="37" borderId="24">
      <alignment horizontal="left" vertical="center"/>
    </xf>
    <xf numFmtId="176" fontId="78" fillId="37" borderId="34"/>
    <xf numFmtId="176" fontId="73" fillId="38" borderId="24">
      <alignment horizontal="left" vertical="center"/>
    </xf>
    <xf numFmtId="0" fontId="79" fillId="0" borderId="0"/>
    <xf numFmtId="43" fontId="5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1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31" fillId="0" borderId="0" applyFont="0" applyFill="0" applyBorder="0" applyAlignment="0" applyProtection="0"/>
    <xf numFmtId="3" fontId="80" fillId="0" borderId="0" applyFont="0" applyFill="0" applyBorder="0" applyAlignment="0" applyProtection="0"/>
    <xf numFmtId="175" fontId="45" fillId="0" borderId="0"/>
    <xf numFmtId="0" fontId="45" fillId="0" borderId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1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12" fillId="0" borderId="0" applyFill="0" applyBorder="0" applyAlignment="0" applyProtection="0"/>
    <xf numFmtId="0" fontId="2" fillId="12" borderId="20" applyNumberFormat="0" applyFont="0" applyAlignment="0" applyProtection="0"/>
    <xf numFmtId="0" fontId="79" fillId="0" borderId="0"/>
    <xf numFmtId="0" fontId="79" fillId="0" borderId="0"/>
    <xf numFmtId="175" fontId="12" fillId="0" borderId="0"/>
    <xf numFmtId="175" fontId="12" fillId="0" borderId="0"/>
    <xf numFmtId="0" fontId="12" fillId="0" borderId="0"/>
    <xf numFmtId="0" fontId="12" fillId="0" borderId="0"/>
    <xf numFmtId="175" fontId="12" fillId="0" borderId="0"/>
    <xf numFmtId="164" fontId="12" fillId="0" borderId="0" applyFont="0" applyFill="0" applyBorder="0" applyAlignment="0" applyProtection="0"/>
    <xf numFmtId="175" fontId="12" fillId="0" borderId="0"/>
    <xf numFmtId="0" fontId="12" fillId="0" borderId="0"/>
    <xf numFmtId="164" fontId="12" fillId="0" borderId="0" applyFont="0" applyFill="0" applyBorder="0" applyAlignment="0" applyProtection="0"/>
    <xf numFmtId="203" fontId="80" fillId="0" borderId="0" applyFont="0" applyFill="0" applyBorder="0" applyAlignment="0" applyProtection="0"/>
    <xf numFmtId="203" fontId="80" fillId="0" borderId="0" applyFont="0" applyFill="0" applyBorder="0" applyAlignment="0" applyProtection="0"/>
    <xf numFmtId="204" fontId="81" fillId="0" borderId="0" applyFont="0" applyFill="0" applyBorder="0" applyAlignment="0" applyProtection="0"/>
    <xf numFmtId="204" fontId="81" fillId="0" borderId="0" applyFont="0" applyFill="0" applyBorder="0" applyAlignment="0" applyProtection="0"/>
    <xf numFmtId="204" fontId="81" fillId="0" borderId="0" applyFont="0" applyFill="0" applyBorder="0" applyAlignment="0" applyProtection="0"/>
    <xf numFmtId="204" fontId="81" fillId="0" borderId="0" applyFont="0" applyFill="0" applyBorder="0" applyAlignment="0" applyProtection="0"/>
    <xf numFmtId="204" fontId="81" fillId="0" borderId="0" applyFont="0" applyFill="0" applyBorder="0" applyAlignment="0" applyProtection="0"/>
    <xf numFmtId="204" fontId="81" fillId="0" borderId="0" applyFont="0" applyFill="0" applyBorder="0" applyAlignment="0" applyProtection="0"/>
    <xf numFmtId="203" fontId="12" fillId="0" borderId="0" applyFont="0" applyFill="0" applyBorder="0" applyAlignment="0" applyProtection="0"/>
    <xf numFmtId="2" fontId="41" fillId="0" borderId="0">
      <protection locked="0"/>
    </xf>
    <xf numFmtId="2" fontId="41" fillId="0" borderId="0">
      <protection locked="0"/>
    </xf>
    <xf numFmtId="175" fontId="41" fillId="0" borderId="0">
      <protection locked="0"/>
    </xf>
    <xf numFmtId="2" fontId="41" fillId="0" borderId="0">
      <protection locked="0"/>
    </xf>
    <xf numFmtId="175" fontId="41" fillId="0" borderId="0">
      <protection locked="0"/>
    </xf>
    <xf numFmtId="0" fontId="41" fillId="0" borderId="0">
      <protection locked="0"/>
    </xf>
    <xf numFmtId="175" fontId="41" fillId="0" borderId="0">
      <protection locked="0"/>
    </xf>
    <xf numFmtId="0" fontId="41" fillId="0" borderId="0">
      <protection locked="0"/>
    </xf>
    <xf numFmtId="175" fontId="41" fillId="0" borderId="0">
      <protection locked="0"/>
    </xf>
    <xf numFmtId="0" fontId="41" fillId="0" borderId="0">
      <protection locked="0"/>
    </xf>
    <xf numFmtId="175" fontId="41" fillId="0" borderId="0">
      <protection locked="0"/>
    </xf>
    <xf numFmtId="0" fontId="41" fillId="0" borderId="0">
      <protection locked="0"/>
    </xf>
    <xf numFmtId="2" fontId="41" fillId="0" borderId="0">
      <protection locked="0"/>
    </xf>
    <xf numFmtId="2" fontId="41" fillId="0" borderId="0">
      <protection locked="0"/>
    </xf>
    <xf numFmtId="2" fontId="41" fillId="0" borderId="0">
      <protection locked="0"/>
    </xf>
    <xf numFmtId="2" fontId="41" fillId="0" borderId="0">
      <protection locked="0"/>
    </xf>
    <xf numFmtId="2" fontId="41" fillId="0" borderId="0">
      <protection locked="0"/>
    </xf>
    <xf numFmtId="175" fontId="80" fillId="0" borderId="0" applyFont="0" applyFill="0" applyBorder="0" applyAlignment="0" applyProtection="0"/>
    <xf numFmtId="14" fontId="82" fillId="0" borderId="0" applyFont="0" applyFill="0" applyBorder="0" applyAlignment="0" applyProtection="0"/>
    <xf numFmtId="14" fontId="82" fillId="0" borderId="0" applyFont="0" applyFill="0" applyBorder="0" applyAlignment="0" applyProtection="0"/>
    <xf numFmtId="14" fontId="82" fillId="0" borderId="0" applyFont="0" applyFill="0" applyBorder="0" applyAlignment="0" applyProtection="0"/>
    <xf numFmtId="14" fontId="82" fillId="0" borderId="0" applyFont="0" applyFill="0" applyBorder="0" applyAlignment="0" applyProtection="0"/>
    <xf numFmtId="14" fontId="82" fillId="0" borderId="0" applyFont="0" applyFill="0" applyBorder="0" applyAlignment="0" applyProtection="0"/>
    <xf numFmtId="14" fontId="82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2" fillId="0" borderId="0" applyFont="0" applyFill="0" applyBorder="0" applyAlignment="0" applyProtection="0"/>
    <xf numFmtId="15" fontId="83" fillId="0" borderId="0"/>
    <xf numFmtId="175" fontId="31" fillId="0" borderId="0"/>
    <xf numFmtId="205" fontId="31" fillId="0" borderId="0"/>
    <xf numFmtId="165" fontId="84" fillId="0" borderId="0"/>
    <xf numFmtId="165" fontId="31" fillId="0" borderId="0" applyBorder="0"/>
    <xf numFmtId="165" fontId="31" fillId="0" borderId="22"/>
    <xf numFmtId="175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175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5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6" fontId="41" fillId="0" borderId="0">
      <protection locked="0"/>
    </xf>
    <xf numFmtId="176" fontId="41" fillId="0" borderId="0">
      <protection locked="0"/>
    </xf>
    <xf numFmtId="176" fontId="68" fillId="0" borderId="0">
      <protection locked="0"/>
    </xf>
    <xf numFmtId="176" fontId="41" fillId="0" borderId="0">
      <protection locked="0"/>
    </xf>
    <xf numFmtId="176" fontId="41" fillId="0" borderId="0">
      <protection locked="0"/>
    </xf>
    <xf numFmtId="176" fontId="41" fillId="0" borderId="0">
      <protection locked="0"/>
    </xf>
    <xf numFmtId="176" fontId="68" fillId="0" borderId="0">
      <protection locked="0"/>
    </xf>
    <xf numFmtId="3" fontId="86" fillId="0" borderId="0"/>
    <xf numFmtId="2" fontId="80" fillId="0" borderId="0" applyFont="0" applyFill="0" applyBorder="0" applyAlignment="0" applyProtection="0"/>
    <xf numFmtId="2" fontId="82" fillId="0" borderId="0" applyFont="0" applyFill="0" applyBorder="0" applyAlignment="0" applyProtection="0"/>
    <xf numFmtId="2" fontId="82" fillId="0" borderId="0" applyFont="0" applyFill="0" applyBorder="0" applyAlignment="0" applyProtection="0"/>
    <xf numFmtId="2" fontId="82" fillId="0" borderId="0" applyFont="0" applyFill="0" applyBorder="0" applyAlignment="0" applyProtection="0"/>
    <xf numFmtId="2" fontId="82" fillId="0" borderId="0" applyFont="0" applyFill="0" applyBorder="0" applyAlignment="0" applyProtection="0"/>
    <xf numFmtId="2" fontId="82" fillId="0" borderId="0" applyFont="0" applyFill="0" applyBorder="0" applyAlignment="0" applyProtection="0"/>
    <xf numFmtId="2" fontId="82" fillId="0" borderId="0" applyFont="0" applyFill="0" applyBorder="0" applyAlignment="0" applyProtection="0"/>
    <xf numFmtId="2" fontId="12" fillId="0" borderId="0" applyFont="0" applyFill="0" applyBorder="0" applyAlignment="0" applyProtection="0"/>
    <xf numFmtId="175" fontId="87" fillId="0" borderId="0"/>
    <xf numFmtId="0" fontId="87" fillId="0" borderId="0"/>
    <xf numFmtId="175" fontId="45" fillId="0" borderId="0"/>
    <xf numFmtId="0" fontId="45" fillId="0" borderId="0"/>
    <xf numFmtId="207" fontId="41" fillId="0" borderId="0">
      <protection locked="0"/>
    </xf>
    <xf numFmtId="1" fontId="88" fillId="0" borderId="0" applyNumberFormat="0" applyFill="0" applyBorder="0" applyAlignment="0" applyProtection="0">
      <alignment horizontal="center" vertical="top"/>
    </xf>
    <xf numFmtId="175" fontId="50" fillId="0" borderId="26"/>
    <xf numFmtId="175" fontId="50" fillId="0" borderId="26"/>
    <xf numFmtId="0" fontId="50" fillId="0" borderId="26"/>
    <xf numFmtId="175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175" fontId="89" fillId="42" borderId="0" applyNumberFormat="0" applyBorder="0" applyAlignment="0" applyProtection="0"/>
    <xf numFmtId="0" fontId="89" fillId="42" borderId="0" applyNumberFormat="0" applyBorder="0" applyAlignment="0" applyProtection="0"/>
    <xf numFmtId="37" fontId="31" fillId="0" borderId="0" applyNumberFormat="0" applyFont="0" applyFill="0"/>
    <xf numFmtId="38" fontId="50" fillId="38" borderId="0" applyNumberFormat="0" applyBorder="0" applyAlignment="0" applyProtection="0"/>
    <xf numFmtId="175" fontId="49" fillId="0" borderId="0"/>
    <xf numFmtId="0" fontId="49" fillId="0" borderId="0"/>
    <xf numFmtId="0" fontId="49" fillId="0" borderId="9" applyNumberFormat="0" applyAlignment="0" applyProtection="0">
      <alignment horizontal="left" vertical="center"/>
    </xf>
    <xf numFmtId="0" fontId="49" fillId="0" borderId="27">
      <alignment horizontal="left" vertical="center"/>
    </xf>
    <xf numFmtId="175" fontId="90" fillId="0" borderId="37" applyNumberFormat="0" applyFill="0" applyAlignment="0" applyProtection="0"/>
    <xf numFmtId="166" fontId="91" fillId="0" borderId="0" applyNumberFormat="0" applyFont="0" applyFill="0" applyAlignment="0" applyProtection="0"/>
    <xf numFmtId="166" fontId="91" fillId="0" borderId="0" applyNumberFormat="0" applyFont="0" applyFill="0" applyAlignment="0" applyProtection="0"/>
    <xf numFmtId="166" fontId="91" fillId="0" borderId="0" applyNumberFormat="0" applyFont="0" applyFill="0" applyAlignment="0" applyProtection="0"/>
    <xf numFmtId="166" fontId="91" fillId="0" borderId="0" applyNumberFormat="0" applyFont="0" applyFill="0" applyAlignment="0" applyProtection="0"/>
    <xf numFmtId="166" fontId="91" fillId="0" borderId="0" applyNumberFormat="0" applyFont="0" applyFill="0" applyAlignment="0" applyProtection="0"/>
    <xf numFmtId="166" fontId="91" fillId="0" borderId="0" applyNumberFormat="0" applyFon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0" fillId="0" borderId="37" applyNumberFormat="0" applyFill="0" applyAlignment="0" applyProtection="0"/>
    <xf numFmtId="0" fontId="90" fillId="0" borderId="37" applyNumberFormat="0" applyFill="0" applyAlignment="0" applyProtection="0"/>
    <xf numFmtId="175" fontId="92" fillId="0" borderId="38" applyNumberFormat="0" applyFill="0" applyAlignment="0" applyProtection="0"/>
    <xf numFmtId="166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66" fontId="49" fillId="0" borderId="0" applyNumberFormat="0" applyFon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0" fontId="49" fillId="0" borderId="0" applyNumberFormat="0" applyFill="0" applyBorder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2" fillId="0" borderId="38" applyNumberFormat="0" applyFill="0" applyAlignment="0" applyProtection="0"/>
    <xf numFmtId="0" fontId="92" fillId="0" borderId="38" applyNumberFormat="0" applyFill="0" applyAlignment="0" applyProtection="0"/>
    <xf numFmtId="175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39" applyNumberFormat="0" applyFill="0" applyAlignment="0" applyProtection="0"/>
    <xf numFmtId="0" fontId="93" fillId="0" borderId="39" applyNumberFormat="0" applyFill="0" applyAlignment="0" applyProtection="0"/>
    <xf numFmtId="175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5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175" fontId="95" fillId="0" borderId="0" applyNumberFormat="0" applyFill="0" applyBorder="0" applyAlignment="0" applyProtection="0">
      <alignment vertical="top"/>
      <protection locked="0"/>
    </xf>
    <xf numFmtId="175" fontId="96" fillId="0" borderId="0" applyNumberFormat="0" applyFill="0" applyBorder="0" applyAlignment="0" applyProtection="0">
      <alignment vertical="top"/>
      <protection locked="0"/>
    </xf>
    <xf numFmtId="175" fontId="97" fillId="0" borderId="0" applyNumberFormat="0" applyFill="0" applyBorder="0" applyAlignment="0" applyProtection="0">
      <alignment vertical="top"/>
      <protection locked="0"/>
    </xf>
    <xf numFmtId="175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175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175" fontId="9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175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75" fontId="98" fillId="0" borderId="0" applyNumberFormat="0" applyFill="0" applyBorder="0" applyAlignment="0" applyProtection="0">
      <alignment vertical="top"/>
      <protection locked="0"/>
    </xf>
    <xf numFmtId="175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175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175" fontId="9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175" fontId="100" fillId="0" borderId="0" applyNumberFormat="0" applyFill="0" applyBorder="0" applyAlignment="0" applyProtection="0">
      <alignment vertical="top"/>
      <protection locked="0"/>
    </xf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10" fontId="50" fillId="37" borderId="24" applyNumberFormat="0" applyBorder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175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101" fillId="45" borderId="32" applyNumberFormat="0" applyAlignment="0" applyProtection="0"/>
    <xf numFmtId="0" fontId="101" fillId="45" borderId="32" applyNumberFormat="0" applyAlignment="0" applyProtection="0"/>
    <xf numFmtId="175" fontId="48" fillId="0" borderId="0"/>
    <xf numFmtId="208" fontId="48" fillId="0" borderId="0"/>
    <xf numFmtId="176" fontId="102" fillId="0" borderId="0" applyNumberFormat="0" applyFill="0" applyBorder="0" applyAlignment="0" applyProtection="0">
      <alignment vertical="top"/>
      <protection locked="0"/>
    </xf>
    <xf numFmtId="176" fontId="103" fillId="0" borderId="0" applyNumberFormat="0" applyFill="0" applyBorder="0" applyAlignment="0" applyProtection="0">
      <alignment vertical="top"/>
      <protection locked="0"/>
    </xf>
    <xf numFmtId="176" fontId="104" fillId="0" borderId="0" applyNumberFormat="0" applyFill="0" applyBorder="0" applyAlignment="0" applyProtection="0">
      <alignment vertical="top"/>
      <protection locked="0"/>
    </xf>
    <xf numFmtId="175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5" fontId="105" fillId="0" borderId="40" applyNumberFormat="0" applyFill="0" applyAlignment="0" applyProtection="0"/>
    <xf numFmtId="0" fontId="105" fillId="0" borderId="40" applyNumberFormat="0" applyFill="0" applyAlignment="0" applyProtection="0"/>
    <xf numFmtId="176" fontId="106" fillId="0" borderId="30">
      <alignment horizontal="left"/>
      <protection locked="0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175" fontId="111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209" fontId="12" fillId="0" borderId="0" applyFont="0" applyFill="0" applyBorder="0" applyAlignment="0" applyProtection="0"/>
    <xf numFmtId="210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177" fontId="58" fillId="0" borderId="0"/>
    <xf numFmtId="213" fontId="12" fillId="0" borderId="0" applyFont="0" applyFill="0" applyBorder="0" applyAlignment="0" applyProtection="0"/>
    <xf numFmtId="214" fontId="12" fillId="0" borderId="0" applyFont="0" applyFill="0" applyBorder="0" applyAlignment="0" applyProtection="0"/>
    <xf numFmtId="215" fontId="41" fillId="0" borderId="0">
      <protection locked="0"/>
    </xf>
    <xf numFmtId="204" fontId="12" fillId="0" borderId="0" applyFont="0" applyFill="0" applyBorder="0" applyAlignment="0" applyProtection="0"/>
    <xf numFmtId="216" fontId="12" fillId="0" borderId="0" applyFont="0" applyFill="0" applyBorder="0" applyAlignment="0" applyProtection="0"/>
    <xf numFmtId="217" fontId="12" fillId="0" borderId="0" applyFont="0" applyFill="0" applyBorder="0" applyAlignment="0" applyProtection="0"/>
    <xf numFmtId="218" fontId="12" fillId="0" borderId="0" applyFont="0" applyFill="0" applyBorder="0" applyAlignment="0" applyProtection="0"/>
    <xf numFmtId="0" fontId="112" fillId="0" borderId="0" applyNumberFormat="0">
      <alignment horizontal="right"/>
    </xf>
    <xf numFmtId="219" fontId="113" fillId="0" borderId="0"/>
    <xf numFmtId="175" fontId="114" fillId="0" borderId="0"/>
    <xf numFmtId="175" fontId="53" fillId="8" borderId="0" applyNumberFormat="0" applyBorder="0" applyAlignment="0" applyProtection="0"/>
    <xf numFmtId="0" fontId="53" fillId="8" borderId="0" applyNumberFormat="0" applyBorder="0" applyAlignment="0" applyProtection="0"/>
    <xf numFmtId="175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115" fillId="61" borderId="0" applyNumberFormat="0" applyBorder="0" applyAlignment="0" applyProtection="0"/>
    <xf numFmtId="0" fontId="115" fillId="61" borderId="0" applyNumberFormat="0" applyBorder="0" applyAlignment="0" applyProtection="0"/>
    <xf numFmtId="175" fontId="39" fillId="0" borderId="0"/>
    <xf numFmtId="0" fontId="39" fillId="0" borderId="0"/>
    <xf numFmtId="175" fontId="45" fillId="0" borderId="0"/>
    <xf numFmtId="0" fontId="51" fillId="0" borderId="0"/>
    <xf numFmtId="175" fontId="51" fillId="0" borderId="0"/>
    <xf numFmtId="175" fontId="51" fillId="0" borderId="0"/>
    <xf numFmtId="0" fontId="51" fillId="0" borderId="0"/>
    <xf numFmtId="172" fontId="116" fillId="0" borderId="0"/>
    <xf numFmtId="172" fontId="116" fillId="0" borderId="0"/>
    <xf numFmtId="175" fontId="51" fillId="0" borderId="0"/>
    <xf numFmtId="175" fontId="51" fillId="0" borderId="0"/>
    <xf numFmtId="175" fontId="51" fillId="0" borderId="0"/>
    <xf numFmtId="175" fontId="51" fillId="0" borderId="0"/>
    <xf numFmtId="175" fontId="51" fillId="0" borderId="0"/>
    <xf numFmtId="175" fontId="51" fillId="0" borderId="0"/>
    <xf numFmtId="0" fontId="51" fillId="0" borderId="0"/>
    <xf numFmtId="0" fontId="44" fillId="0" borderId="0"/>
    <xf numFmtId="175" fontId="46" fillId="0" borderId="0"/>
    <xf numFmtId="0" fontId="46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7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7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175" fontId="31" fillId="0" borderId="0"/>
    <xf numFmtId="0" fontId="31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117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18" fillId="0" borderId="0"/>
    <xf numFmtId="0" fontId="118" fillId="0" borderId="0"/>
    <xf numFmtId="0" fontId="117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175" fontId="2" fillId="0" borderId="0"/>
    <xf numFmtId="0" fontId="31" fillId="0" borderId="0" applyNumberFormat="0" applyFill="0" applyBorder="0" applyAlignment="0" applyProtection="0"/>
    <xf numFmtId="175" fontId="2" fillId="0" borderId="0"/>
    <xf numFmtId="0" fontId="2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7" fillId="0" borderId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175" fontId="12" fillId="0" borderId="0"/>
    <xf numFmtId="175" fontId="2" fillId="0" borderId="0"/>
    <xf numFmtId="175" fontId="2" fillId="0" borderId="0"/>
    <xf numFmtId="0" fontId="2" fillId="0" borderId="0"/>
    <xf numFmtId="175" fontId="12" fillId="0" borderId="0"/>
    <xf numFmtId="0" fontId="12" fillId="0" borderId="0"/>
    <xf numFmtId="0" fontId="117" fillId="0" borderId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2" fillId="0" borderId="0"/>
    <xf numFmtId="0" fontId="31" fillId="0" borderId="0" applyBorder="0"/>
    <xf numFmtId="0" fontId="12" fillId="0" borderId="0" applyNumberFormat="0" applyFill="0" applyBorder="0" applyAlignment="0" applyProtection="0"/>
    <xf numFmtId="0" fontId="31" fillId="0" borderId="0" applyBorder="0"/>
    <xf numFmtId="175" fontId="2" fillId="0" borderId="0"/>
    <xf numFmtId="0" fontId="31" fillId="0" borderId="0" applyBorder="0"/>
    <xf numFmtId="0" fontId="31" fillId="0" borderId="0" applyBorder="0"/>
    <xf numFmtId="0" fontId="31" fillId="0" borderId="0" applyBorder="0"/>
    <xf numFmtId="175" fontId="12" fillId="0" borderId="0" applyNumberFormat="0" applyFill="0" applyBorder="0" applyAlignment="0" applyProtection="0"/>
    <xf numFmtId="175" fontId="2" fillId="0" borderId="0"/>
    <xf numFmtId="175" fontId="2" fillId="0" borderId="0"/>
    <xf numFmtId="0" fontId="2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7" fillId="0" borderId="0"/>
    <xf numFmtId="0" fontId="31" fillId="0" borderId="0" applyBorder="0"/>
    <xf numFmtId="0" fontId="31" fillId="0" borderId="0" applyBorder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176" fontId="31" fillId="0" borderId="0"/>
    <xf numFmtId="0" fontId="40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17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0" fontId="33" fillId="0" borderId="0"/>
    <xf numFmtId="0" fontId="31" fillId="0" borderId="0"/>
    <xf numFmtId="175" fontId="12" fillId="0" borderId="0" applyNumberFormat="0" applyFill="0" applyBorder="0" applyAlignment="0" applyProtection="0"/>
    <xf numFmtId="175" fontId="33" fillId="0" borderId="0"/>
    <xf numFmtId="0" fontId="33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5" fontId="33" fillId="0" borderId="0"/>
    <xf numFmtId="175" fontId="33" fillId="0" borderId="0"/>
    <xf numFmtId="175" fontId="33" fillId="0" borderId="0"/>
    <xf numFmtId="175" fontId="33" fillId="0" borderId="0"/>
    <xf numFmtId="175" fontId="33" fillId="0" borderId="0"/>
    <xf numFmtId="175" fontId="33" fillId="0" borderId="0"/>
    <xf numFmtId="175" fontId="33" fillId="0" borderId="0"/>
    <xf numFmtId="175" fontId="31" fillId="0" borderId="0" applyBorder="0"/>
    <xf numFmtId="0" fontId="31" fillId="0" borderId="0" applyBorder="0"/>
    <xf numFmtId="175" fontId="33" fillId="0" borderId="0"/>
    <xf numFmtId="175" fontId="59" fillId="0" borderId="0"/>
    <xf numFmtId="0" fontId="59" fillId="0" borderId="0"/>
    <xf numFmtId="0" fontId="33" fillId="0" borderId="0"/>
    <xf numFmtId="175" fontId="59" fillId="0" borderId="0"/>
    <xf numFmtId="0" fontId="59" fillId="0" borderId="0"/>
    <xf numFmtId="0" fontId="33" fillId="0" borderId="0"/>
    <xf numFmtId="0" fontId="12" fillId="0" borderId="0"/>
    <xf numFmtId="175" fontId="59" fillId="0" borderId="0"/>
    <xf numFmtId="0" fontId="59" fillId="0" borderId="0"/>
    <xf numFmtId="0" fontId="31" fillId="0" borderId="0" applyBorder="0"/>
    <xf numFmtId="175" fontId="31" fillId="0" borderId="0">
      <alignment vertical="top"/>
    </xf>
    <xf numFmtId="0" fontId="31" fillId="0" borderId="0">
      <alignment vertical="top"/>
    </xf>
    <xf numFmtId="175" fontId="31" fillId="0" borderId="0" applyBorder="0"/>
    <xf numFmtId="0" fontId="31" fillId="0" borderId="0" applyBorder="0"/>
    <xf numFmtId="175" fontId="2" fillId="0" borderId="0"/>
    <xf numFmtId="0" fontId="2" fillId="0" borderId="0"/>
    <xf numFmtId="0" fontId="12" fillId="0" borderId="0" applyNumberFormat="0" applyFill="0" applyBorder="0" applyAlignment="0" applyProtection="0"/>
    <xf numFmtId="175" fontId="2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0" fontId="44" fillId="0" borderId="0" applyNumberFormat="0" applyFill="0" applyBorder="0" applyAlignment="0" applyProtection="0"/>
    <xf numFmtId="170" fontId="54" fillId="0" borderId="0"/>
    <xf numFmtId="170" fontId="12" fillId="0" borderId="0"/>
    <xf numFmtId="170" fontId="12" fillId="0" borderId="0"/>
    <xf numFmtId="0" fontId="117" fillId="0" borderId="0"/>
    <xf numFmtId="175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0" fontId="12" fillId="0" borderId="0"/>
    <xf numFmtId="175" fontId="44" fillId="0" borderId="0" applyNumberFormat="0" applyFill="0" applyBorder="0" applyAlignment="0" applyProtection="0"/>
    <xf numFmtId="175" fontId="2" fillId="0" borderId="0"/>
    <xf numFmtId="175" fontId="2" fillId="0" borderId="0"/>
    <xf numFmtId="0" fontId="2" fillId="0" borderId="0"/>
    <xf numFmtId="175" fontId="2" fillId="0" borderId="0"/>
    <xf numFmtId="0" fontId="44" fillId="0" borderId="0" applyNumberFormat="0" applyFill="0" applyBorder="0" applyAlignment="0" applyProtection="0"/>
    <xf numFmtId="175" fontId="2" fillId="0" borderId="0"/>
    <xf numFmtId="175" fontId="2" fillId="0" borderId="0"/>
    <xf numFmtId="0" fontId="2" fillId="0" borderId="0"/>
    <xf numFmtId="175" fontId="44" fillId="0" borderId="0" applyNumberFormat="0" applyFill="0" applyBorder="0" applyAlignment="0" applyProtection="0"/>
    <xf numFmtId="175" fontId="31" fillId="0" borderId="0"/>
    <xf numFmtId="175" fontId="31" fillId="0" borderId="0"/>
    <xf numFmtId="175" fontId="31" fillId="0" borderId="0"/>
    <xf numFmtId="175" fontId="31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117" fillId="0" borderId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0" fontId="31" fillId="0" borderId="0"/>
    <xf numFmtId="171" fontId="43" fillId="0" borderId="0"/>
    <xf numFmtId="175" fontId="12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12" fillId="0" borderId="0"/>
    <xf numFmtId="0" fontId="12" fillId="0" borderId="0"/>
    <xf numFmtId="0" fontId="31" fillId="0" borderId="0" applyNumberFormat="0" applyFill="0" applyBorder="0" applyAlignment="0" applyProtection="0"/>
    <xf numFmtId="175" fontId="12" fillId="0" borderId="0"/>
    <xf numFmtId="175" fontId="31" fillId="0" borderId="0"/>
    <xf numFmtId="0" fontId="12" fillId="0" borderId="0"/>
    <xf numFmtId="175" fontId="12" fillId="0" borderId="0"/>
    <xf numFmtId="0" fontId="12" fillId="0" borderId="0"/>
    <xf numFmtId="175" fontId="31" fillId="0" borderId="0"/>
    <xf numFmtId="175" fontId="31" fillId="0" borderId="0"/>
    <xf numFmtId="175" fontId="31" fillId="0" borderId="0"/>
    <xf numFmtId="175" fontId="31" fillId="0" borderId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175" fontId="2" fillId="0" borderId="0"/>
    <xf numFmtId="175" fontId="2" fillId="0" borderId="0"/>
    <xf numFmtId="0" fontId="12" fillId="0" borderId="0" applyNumberFormat="0" applyFill="0" applyBorder="0" applyAlignment="0" applyProtection="0"/>
    <xf numFmtId="0" fontId="117" fillId="0" borderId="0"/>
    <xf numFmtId="165" fontId="31" fillId="0" borderId="0"/>
    <xf numFmtId="175" fontId="12" fillId="0" borderId="0"/>
    <xf numFmtId="0" fontId="12" fillId="0" borderId="0"/>
    <xf numFmtId="165" fontId="31" fillId="0" borderId="0"/>
    <xf numFmtId="0" fontId="12" fillId="0" borderId="0"/>
    <xf numFmtId="171" fontId="43" fillId="0" borderId="0"/>
    <xf numFmtId="175" fontId="12" fillId="0" borderId="0" applyNumberFormat="0" applyFill="0" applyBorder="0" applyAlignment="0" applyProtection="0"/>
    <xf numFmtId="175" fontId="31" fillId="0" borderId="0"/>
    <xf numFmtId="0" fontId="31" fillId="0" borderId="0"/>
    <xf numFmtId="175" fontId="2" fillId="0" borderId="0"/>
    <xf numFmtId="0" fontId="12" fillId="0" borderId="0" applyNumberFormat="0" applyFill="0" applyBorder="0" applyAlignment="0" applyProtection="0"/>
    <xf numFmtId="175" fontId="31" fillId="0" borderId="0"/>
    <xf numFmtId="175" fontId="2" fillId="0" borderId="0"/>
    <xf numFmtId="0" fontId="31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2" fillId="0" borderId="0"/>
    <xf numFmtId="175" fontId="2" fillId="0" borderId="0"/>
    <xf numFmtId="0" fontId="2" fillId="0" borderId="0"/>
    <xf numFmtId="0" fontId="31" fillId="0" borderId="0" applyBorder="0"/>
    <xf numFmtId="175" fontId="31" fillId="0" borderId="0" applyNumberFormat="0" applyFill="0" applyBorder="0" applyAlignment="0" applyProtection="0"/>
    <xf numFmtId="175" fontId="31" fillId="0" borderId="0" applyBorder="0"/>
    <xf numFmtId="0" fontId="31" fillId="0" borderId="0" applyBorder="0"/>
    <xf numFmtId="0" fontId="31" fillId="0" borderId="0" applyNumberFormat="0" applyFill="0" applyBorder="0" applyAlignment="0" applyProtection="0"/>
    <xf numFmtId="175" fontId="31" fillId="0" borderId="0" applyNumberFormat="0" applyFill="0" applyBorder="0" applyAlignment="0" applyProtection="0"/>
    <xf numFmtId="175" fontId="31" fillId="0" borderId="0" applyBorder="0"/>
    <xf numFmtId="0" fontId="31" fillId="0" borderId="0" applyBorder="0"/>
    <xf numFmtId="0" fontId="31" fillId="0" borderId="0" applyNumberFormat="0" applyFill="0" applyBorder="0" applyAlignment="0" applyProtection="0"/>
    <xf numFmtId="175" fontId="31" fillId="0" borderId="0" applyBorder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0" fontId="12" fillId="0" borderId="0" applyNumberFormat="0" applyFill="0" applyBorder="0" applyAlignment="0" applyProtection="0"/>
    <xf numFmtId="0" fontId="117" fillId="0" borderId="0"/>
    <xf numFmtId="175" fontId="12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5" fontId="12" fillId="0" borderId="0"/>
    <xf numFmtId="0" fontId="12" fillId="0" borderId="0"/>
    <xf numFmtId="0" fontId="12" fillId="0" borderId="0" applyNumberFormat="0" applyFill="0" applyBorder="0" applyAlignment="0" applyProtection="0"/>
    <xf numFmtId="175" fontId="12" fillId="0" borderId="0"/>
    <xf numFmtId="175" fontId="2" fillId="0" borderId="0"/>
    <xf numFmtId="175" fontId="2" fillId="0" borderId="0"/>
    <xf numFmtId="0" fontId="2" fillId="0" borderId="0"/>
    <xf numFmtId="0" fontId="12" fillId="0" borderId="0"/>
    <xf numFmtId="175" fontId="12" fillId="0" borderId="0" applyNumberFormat="0" applyFill="0" applyBorder="0" applyAlignment="0" applyProtection="0"/>
    <xf numFmtId="175" fontId="33" fillId="0" borderId="0"/>
    <xf numFmtId="0" fontId="12" fillId="0" borderId="0" applyNumberFormat="0" applyFill="0" applyBorder="0" applyAlignment="0" applyProtection="0"/>
    <xf numFmtId="175" fontId="2" fillId="0" borderId="0"/>
    <xf numFmtId="175" fontId="2" fillId="0" borderId="0"/>
    <xf numFmtId="0" fontId="2" fillId="0" borderId="0"/>
    <xf numFmtId="175" fontId="33" fillId="0" borderId="0"/>
    <xf numFmtId="175" fontId="33" fillId="0" borderId="0"/>
    <xf numFmtId="175" fontId="33" fillId="0" borderId="0"/>
    <xf numFmtId="175" fontId="33" fillId="0" borderId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175" fontId="31" fillId="0" borderId="0" applyBorder="0"/>
    <xf numFmtId="0" fontId="31" fillId="0" borderId="0" applyBorder="0"/>
    <xf numFmtId="0" fontId="119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5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7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0" fontId="2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 applyBorder="0"/>
    <xf numFmtId="175" fontId="2" fillId="0" borderId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7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0" fillId="0" borderId="0"/>
    <xf numFmtId="175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5" fontId="31" fillId="0" borderId="0" applyBorder="0"/>
    <xf numFmtId="0" fontId="31" fillId="0" borderId="0" applyBorder="0"/>
    <xf numFmtId="0" fontId="117" fillId="0" borderId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175" fontId="12" fillId="0" borderId="0" applyNumberFormat="0" applyFill="0" applyBorder="0" applyAlignment="0" applyProtection="0"/>
    <xf numFmtId="0" fontId="31" fillId="0" borderId="0" applyBorder="0"/>
    <xf numFmtId="220" fontId="31" fillId="0" borderId="0" applyFill="0" applyBorder="0" applyAlignment="0" applyProtection="0">
      <alignment horizontal="right"/>
    </xf>
    <xf numFmtId="221" fontId="35" fillId="0" borderId="0"/>
    <xf numFmtId="175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59" fillId="62" borderId="41" applyNumberFormat="0" applyFont="0" applyAlignment="0" applyProtection="0"/>
    <xf numFmtId="0" fontId="59" fillId="62" borderId="41" applyNumberFormat="0" applyFont="0" applyAlignment="0" applyProtection="0"/>
    <xf numFmtId="175" fontId="121" fillId="0" borderId="30"/>
    <xf numFmtId="0" fontId="121" fillId="0" borderId="30"/>
    <xf numFmtId="0" fontId="40" fillId="0" borderId="0">
      <alignment horizontal="left"/>
    </xf>
    <xf numFmtId="0" fontId="40" fillId="0" borderId="0">
      <alignment horizontal="left"/>
    </xf>
    <xf numFmtId="0" fontId="40" fillId="0" borderId="0">
      <alignment horizontal="left"/>
    </xf>
    <xf numFmtId="0" fontId="40" fillId="0" borderId="0">
      <alignment horizontal="left"/>
    </xf>
    <xf numFmtId="0" fontId="40" fillId="0" borderId="0">
      <alignment horizontal="left"/>
    </xf>
    <xf numFmtId="222" fontId="35" fillId="0" borderId="0" applyFill="0" applyBorder="0" applyProtection="0">
      <alignment horizontal="right"/>
    </xf>
    <xf numFmtId="49" fontId="58" fillId="0" borderId="0"/>
    <xf numFmtId="175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75" fontId="122" fillId="58" borderId="42" applyNumberFormat="0" applyAlignment="0" applyProtection="0"/>
    <xf numFmtId="0" fontId="122" fillId="58" borderId="42" applyNumberFormat="0" applyAlignment="0" applyProtection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23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4" fontId="40" fillId="0" borderId="0" applyFont="0" applyFill="0" applyBorder="0" applyAlignment="0" applyProtection="0"/>
    <xf numFmtId="224" fontId="40" fillId="0" borderId="0" applyFont="0" applyFill="0" applyBorder="0" applyAlignment="0" applyProtection="0"/>
    <xf numFmtId="225" fontId="40" fillId="0" borderId="0" applyFont="0" applyFill="0" applyBorder="0" applyAlignment="0" applyProtection="0"/>
    <xf numFmtId="225" fontId="40" fillId="0" borderId="0" applyFont="0" applyFill="0" applyBorder="0" applyAlignment="0" applyProtection="0"/>
    <xf numFmtId="226" fontId="41" fillId="0" borderId="0">
      <protection locked="0"/>
    </xf>
    <xf numFmtId="227" fontId="41" fillId="0" borderId="0">
      <protection locked="0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28" fontId="31" fillId="0" borderId="0" applyFill="0" applyBorder="0" applyAlignment="0">
      <alignment horizontal="centerContinuous"/>
    </xf>
    <xf numFmtId="0" fontId="40" fillId="0" borderId="0"/>
    <xf numFmtId="176" fontId="123" fillId="0" borderId="30" applyNumberFormat="0" applyFill="0" applyBorder="0" applyAlignment="0" applyProtection="0">
      <protection hidden="1"/>
    </xf>
    <xf numFmtId="165" fontId="124" fillId="0" borderId="0"/>
    <xf numFmtId="229" fontId="67" fillId="0" borderId="0"/>
    <xf numFmtId="170" fontId="125" fillId="0" borderId="43" applyNumberFormat="0" applyFont="0" applyFill="0" applyAlignment="0" applyProtection="0"/>
    <xf numFmtId="0" fontId="31" fillId="0" borderId="23">
      <alignment horizontal="center" vertical="center"/>
    </xf>
    <xf numFmtId="38" fontId="126" fillId="0" borderId="0" applyFont="0" applyFill="0" applyBorder="0" applyAlignment="0" applyProtection="0"/>
    <xf numFmtId="38" fontId="126" fillId="0" borderId="5"/>
    <xf numFmtId="230" fontId="12" fillId="0" borderId="0">
      <protection locked="0"/>
    </xf>
    <xf numFmtId="230" fontId="12" fillId="0" borderId="0">
      <protection locked="0"/>
    </xf>
    <xf numFmtId="230" fontId="12" fillId="0" borderId="0">
      <protection locked="0"/>
    </xf>
    <xf numFmtId="230" fontId="12" fillId="0" borderId="0">
      <protection locked="0"/>
    </xf>
    <xf numFmtId="230" fontId="12" fillId="0" borderId="0">
      <protection locked="0"/>
    </xf>
    <xf numFmtId="230" fontId="12" fillId="0" borderId="0">
      <protection locked="0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6" fontId="31" fillId="0" borderId="0"/>
    <xf numFmtId="0" fontId="127" fillId="0" borderId="0"/>
    <xf numFmtId="175" fontId="30" fillId="0" borderId="0">
      <alignment vertical="top"/>
    </xf>
    <xf numFmtId="0" fontId="30" fillId="0" borderId="0">
      <alignment vertical="top"/>
    </xf>
    <xf numFmtId="170" fontId="128" fillId="0" borderId="0" applyNumberFormat="0" applyAlignment="0">
      <alignment horizontal="left"/>
    </xf>
    <xf numFmtId="0" fontId="129" fillId="0" borderId="0"/>
    <xf numFmtId="175" fontId="12" fillId="0" borderId="0" applyNumberFormat="0"/>
    <xf numFmtId="0" fontId="12" fillId="0" borderId="0" applyNumberFormat="0"/>
    <xf numFmtId="175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175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/>
    <xf numFmtId="170" fontId="36" fillId="0" borderId="29"/>
    <xf numFmtId="2" fontId="42" fillId="0" borderId="0">
      <protection locked="0"/>
    </xf>
    <xf numFmtId="2" fontId="42" fillId="0" borderId="0">
      <protection locked="0"/>
    </xf>
    <xf numFmtId="231" fontId="42" fillId="0" borderId="0">
      <protection locked="0"/>
    </xf>
    <xf numFmtId="2" fontId="42" fillId="0" borderId="0">
      <protection locked="0"/>
    </xf>
    <xf numFmtId="231" fontId="42" fillId="0" borderId="0">
      <protection locked="0"/>
    </xf>
    <xf numFmtId="231" fontId="42" fillId="0" borderId="0">
      <protection locked="0"/>
    </xf>
    <xf numFmtId="231" fontId="42" fillId="0" borderId="0">
      <protection locked="0"/>
    </xf>
    <xf numFmtId="231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31" fontId="42" fillId="0" borderId="0">
      <protection locked="0"/>
    </xf>
    <xf numFmtId="2" fontId="42" fillId="0" borderId="0">
      <protection locked="0"/>
    </xf>
    <xf numFmtId="231" fontId="42" fillId="0" borderId="0">
      <protection locked="0"/>
    </xf>
    <xf numFmtId="231" fontId="42" fillId="0" borderId="0">
      <protection locked="0"/>
    </xf>
    <xf numFmtId="231" fontId="42" fillId="0" borderId="0">
      <protection locked="0"/>
    </xf>
    <xf numFmtId="231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2" fontId="42" fillId="0" borderId="0">
      <protection locked="0"/>
    </xf>
    <xf numFmtId="176" fontId="124" fillId="58" borderId="30"/>
    <xf numFmtId="2" fontId="41" fillId="0" borderId="44">
      <protection locked="0"/>
    </xf>
    <xf numFmtId="166" fontId="82" fillId="0" borderId="45" applyNumberFormat="0" applyFont="0" applyBorder="0" applyAlignment="0" applyProtection="0"/>
    <xf numFmtId="166" fontId="82" fillId="0" borderId="45" applyNumberFormat="0" applyFont="0" applyBorder="0" applyAlignment="0" applyProtection="0"/>
    <xf numFmtId="166" fontId="82" fillId="0" borderId="45" applyNumberFormat="0" applyFont="0" applyBorder="0" applyAlignment="0" applyProtection="0"/>
    <xf numFmtId="166" fontId="82" fillId="0" borderId="45" applyNumberFormat="0" applyFont="0" applyBorder="0" applyAlignment="0" applyProtection="0"/>
    <xf numFmtId="166" fontId="82" fillId="0" borderId="45" applyNumberFormat="0" applyFont="0" applyBorder="0" applyAlignment="0" applyProtection="0"/>
    <xf numFmtId="166" fontId="82" fillId="0" borderId="45" applyNumberFormat="0" applyFont="0" applyBorder="0" applyAlignment="0" applyProtection="0"/>
    <xf numFmtId="2" fontId="41" fillId="0" borderId="44">
      <protection locked="0"/>
    </xf>
    <xf numFmtId="2" fontId="41" fillId="0" borderId="44">
      <protection locked="0"/>
    </xf>
    <xf numFmtId="231" fontId="41" fillId="0" borderId="25">
      <protection locked="0"/>
    </xf>
    <xf numFmtId="2" fontId="41" fillId="0" borderId="44">
      <protection locked="0"/>
    </xf>
    <xf numFmtId="2" fontId="41" fillId="0" borderId="44">
      <protection locked="0"/>
    </xf>
    <xf numFmtId="2" fontId="41" fillId="0" borderId="44">
      <protection locked="0"/>
    </xf>
    <xf numFmtId="2" fontId="41" fillId="0" borderId="44">
      <protection locked="0"/>
    </xf>
    <xf numFmtId="2" fontId="41" fillId="0" borderId="44">
      <protection locked="0"/>
    </xf>
    <xf numFmtId="2" fontId="41" fillId="0" borderId="44">
      <protection locked="0"/>
    </xf>
    <xf numFmtId="2" fontId="41" fillId="0" borderId="44">
      <protection locked="0"/>
    </xf>
    <xf numFmtId="175" fontId="12" fillId="0" borderId="0">
      <alignment horizontal="center"/>
    </xf>
    <xf numFmtId="232" fontId="12" fillId="0" borderId="0">
      <alignment horizontal="center"/>
    </xf>
    <xf numFmtId="233" fontId="48" fillId="0" borderId="0"/>
    <xf numFmtId="175" fontId="12" fillId="0" borderId="46"/>
    <xf numFmtId="227" fontId="41" fillId="0" borderId="0">
      <protection locked="0"/>
    </xf>
    <xf numFmtId="234" fontId="41" fillId="0" borderId="0">
      <protection locked="0"/>
    </xf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175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34" fillId="0" borderId="0" applyNumberFormat="0" applyFont="0" applyFill="0" applyBorder="0" applyAlignment="0" applyProtection="0">
      <alignment vertical="top"/>
    </xf>
    <xf numFmtId="0" fontId="34" fillId="0" borderId="0" applyNumberFormat="0" applyFont="0" applyFill="0" applyBorder="0" applyAlignment="0" applyProtection="0">
      <alignment vertical="top"/>
    </xf>
    <xf numFmtId="175" fontId="47" fillId="0" borderId="0" applyNumberFormat="0" applyFont="0" applyFill="0" applyBorder="0" applyAlignment="0" applyProtection="0">
      <alignment vertical="top"/>
    </xf>
    <xf numFmtId="0" fontId="47" fillId="0" borderId="0" applyNumberFormat="0" applyFont="0" applyFill="0" applyBorder="0" applyAlignment="0" applyProtection="0">
      <alignment vertical="top"/>
    </xf>
    <xf numFmtId="175" fontId="47" fillId="0" borderId="0" applyNumberFormat="0" applyFont="0" applyFill="0" applyBorder="0" applyAlignment="0" applyProtection="0">
      <alignment vertical="top"/>
    </xf>
    <xf numFmtId="0" fontId="47" fillId="0" borderId="0" applyNumberFormat="0" applyFont="0" applyFill="0" applyBorder="0" applyAlignment="0" applyProtection="0">
      <alignment vertical="top"/>
    </xf>
    <xf numFmtId="175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175" fontId="34" fillId="0" borderId="0" applyNumberFormat="0" applyFont="0" applyFill="0" applyBorder="0" applyAlignment="0" applyProtection="0">
      <alignment horizontal="left" vertical="top"/>
    </xf>
    <xf numFmtId="0" fontId="34" fillId="0" borderId="0" applyNumberFormat="0" applyFont="0" applyFill="0" applyBorder="0" applyAlignment="0" applyProtection="0">
      <alignment horizontal="left" vertical="top"/>
    </xf>
    <xf numFmtId="175" fontId="34" fillId="0" borderId="0" applyNumberFormat="0" applyFont="0" applyFill="0" applyBorder="0" applyAlignment="0" applyProtection="0">
      <alignment horizontal="left" vertical="top"/>
    </xf>
    <xf numFmtId="0" fontId="34" fillId="0" borderId="0" applyNumberFormat="0" applyFont="0" applyFill="0" applyBorder="0" applyAlignment="0" applyProtection="0">
      <alignment horizontal="left" vertical="top"/>
    </xf>
    <xf numFmtId="175" fontId="34" fillId="0" borderId="0" applyNumberFormat="0" applyFont="0" applyFill="0" applyBorder="0" applyAlignment="0" applyProtection="0">
      <alignment horizontal="left" vertical="top"/>
    </xf>
    <xf numFmtId="0" fontId="34" fillId="0" borderId="0" applyNumberFormat="0" applyFont="0" applyFill="0" applyBorder="0" applyAlignment="0" applyProtection="0">
      <alignment horizontal="left" vertical="top"/>
    </xf>
    <xf numFmtId="175" fontId="133" fillId="0" borderId="0" applyNumberFormat="0" applyFont="0" applyFill="0" applyBorder="0" applyAlignment="0" applyProtection="0">
      <alignment horizontal="center"/>
    </xf>
    <xf numFmtId="0" fontId="133" fillId="0" borderId="0" applyNumberFormat="0" applyFont="0" applyFill="0" applyBorder="0" applyAlignment="0" applyProtection="0">
      <alignment horizontal="center"/>
    </xf>
    <xf numFmtId="175" fontId="133" fillId="0" borderId="0" applyNumberFormat="0" applyFont="0" applyFill="0" applyBorder="0" applyAlignment="0" applyProtection="0">
      <alignment horizontal="center"/>
    </xf>
    <xf numFmtId="0" fontId="133" fillId="0" borderId="0" applyNumberFormat="0" applyFont="0" applyFill="0" applyBorder="0" applyAlignment="0" applyProtection="0">
      <alignment horizontal="center"/>
    </xf>
    <xf numFmtId="175" fontId="31" fillId="0" borderId="0"/>
    <xf numFmtId="0" fontId="31" fillId="0" borderId="0"/>
    <xf numFmtId="175" fontId="134" fillId="0" borderId="0">
      <alignment horizontal="left" wrapText="1"/>
    </xf>
    <xf numFmtId="0" fontId="134" fillId="0" borderId="0">
      <alignment horizontal="left" wrapText="1"/>
    </xf>
    <xf numFmtId="175" fontId="135" fillId="0" borderId="23" applyNumberFormat="0" applyFont="0" applyFill="0" applyBorder="0" applyAlignment="0" applyProtection="0">
      <alignment horizontal="center" wrapText="1"/>
    </xf>
    <xf numFmtId="0" fontId="135" fillId="0" borderId="23" applyNumberFormat="0" applyFont="0" applyFill="0" applyBorder="0" applyAlignment="0" applyProtection="0">
      <alignment horizontal="center" wrapText="1"/>
    </xf>
    <xf numFmtId="235" fontId="40" fillId="0" borderId="0" applyNumberFormat="0" applyFont="0" applyFill="0" applyBorder="0" applyAlignment="0" applyProtection="0">
      <alignment horizontal="right"/>
    </xf>
    <xf numFmtId="175" fontId="135" fillId="0" borderId="0" applyNumberFormat="0" applyFont="0" applyFill="0" applyBorder="0" applyAlignment="0" applyProtection="0">
      <alignment horizontal="left" indent="1"/>
    </xf>
    <xf numFmtId="0" fontId="135" fillId="0" borderId="0" applyNumberFormat="0" applyFont="0" applyFill="0" applyBorder="0" applyAlignment="0" applyProtection="0">
      <alignment horizontal="left" indent="1"/>
    </xf>
    <xf numFmtId="236" fontId="135" fillId="0" borderId="0" applyNumberFormat="0" applyFont="0" applyFill="0" applyBorder="0" applyAlignment="0" applyProtection="0"/>
    <xf numFmtId="175" fontId="31" fillId="0" borderId="23" applyNumberFormat="0" applyFont="0" applyFill="0" applyAlignment="0" applyProtection="0">
      <alignment horizontal="center"/>
    </xf>
    <xf numFmtId="0" fontId="31" fillId="0" borderId="23" applyNumberFormat="0" applyFont="0" applyFill="0" applyAlignment="0" applyProtection="0">
      <alignment horizontal="center"/>
    </xf>
    <xf numFmtId="175" fontId="31" fillId="0" borderId="0" applyNumberFormat="0" applyFont="0" applyFill="0" applyBorder="0" applyAlignment="0" applyProtection="0">
      <alignment horizontal="left" wrapText="1" indent="1"/>
    </xf>
    <xf numFmtId="0" fontId="31" fillId="0" borderId="0" applyNumberFormat="0" applyFont="0" applyFill="0" applyBorder="0" applyAlignment="0" applyProtection="0">
      <alignment horizontal="left" wrapText="1" indent="1"/>
    </xf>
    <xf numFmtId="175" fontId="135" fillId="0" borderId="0" applyNumberFormat="0" applyFont="0" applyFill="0" applyBorder="0" applyAlignment="0" applyProtection="0">
      <alignment horizontal="left" indent="1"/>
    </xf>
    <xf numFmtId="0" fontId="135" fillId="0" borderId="0" applyNumberFormat="0" applyFont="0" applyFill="0" applyBorder="0" applyAlignment="0" applyProtection="0">
      <alignment horizontal="left" indent="1"/>
    </xf>
    <xf numFmtId="175" fontId="31" fillId="0" borderId="0" applyNumberFormat="0" applyFont="0" applyFill="0" applyBorder="0" applyAlignment="0" applyProtection="0">
      <alignment horizontal="left" wrapText="1" indent="2"/>
    </xf>
    <xf numFmtId="0" fontId="31" fillId="0" borderId="0" applyNumberFormat="0" applyFont="0" applyFill="0" applyBorder="0" applyAlignment="0" applyProtection="0">
      <alignment horizontal="left" wrapText="1" indent="2"/>
    </xf>
    <xf numFmtId="237" fontId="31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75" fontId="136" fillId="0" borderId="0" applyProtection="0"/>
    <xf numFmtId="0" fontId="136" fillId="0" borderId="0" applyProtection="0"/>
    <xf numFmtId="238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175" fontId="137" fillId="0" borderId="0" applyProtection="0"/>
    <xf numFmtId="0" fontId="137" fillId="0" borderId="0" applyProtection="0"/>
    <xf numFmtId="175" fontId="138" fillId="0" borderId="0" applyProtection="0"/>
    <xf numFmtId="0" fontId="138" fillId="0" borderId="0" applyProtection="0"/>
    <xf numFmtId="175" fontId="136" fillId="0" borderId="25" applyProtection="0"/>
    <xf numFmtId="0" fontId="136" fillId="0" borderId="25" applyProtection="0"/>
    <xf numFmtId="0" fontId="139" fillId="0" borderId="0" applyNumberFormat="0" applyFill="0" applyBorder="0" applyAlignment="0" applyProtection="0">
      <alignment vertical="top"/>
      <protection locked="0"/>
    </xf>
    <xf numFmtId="10" fontId="136" fillId="0" borderId="0" applyProtection="0"/>
    <xf numFmtId="175" fontId="136" fillId="0" borderId="0"/>
    <xf numFmtId="0" fontId="136" fillId="0" borderId="0"/>
    <xf numFmtId="2" fontId="136" fillId="0" borderId="0" applyProtection="0"/>
    <xf numFmtId="173" fontId="31" fillId="0" borderId="0" applyFont="0" applyFill="0" applyBorder="0" applyAlignment="0" applyProtection="0"/>
    <xf numFmtId="240" fontId="31" fillId="0" borderId="0" applyFont="0" applyFill="0" applyBorder="0" applyAlignment="0" applyProtection="0"/>
    <xf numFmtId="209" fontId="140" fillId="0" borderId="0" applyFont="0" applyFill="0" applyBorder="0" applyAlignment="0" applyProtection="0"/>
    <xf numFmtId="176" fontId="31" fillId="0" borderId="0"/>
    <xf numFmtId="204" fontId="140" fillId="0" borderId="0" applyFont="0" applyFill="0" applyBorder="0" applyAlignment="0" applyProtection="0"/>
    <xf numFmtId="0" fontId="33" fillId="0" borderId="0"/>
    <xf numFmtId="0" fontId="2" fillId="0" borderId="0"/>
    <xf numFmtId="0" fontId="54" fillId="0" borderId="0"/>
    <xf numFmtId="0" fontId="2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31" fillId="0" borderId="0" applyFont="0" applyFill="0" applyBorder="0" applyAlignment="0" applyProtection="0"/>
    <xf numFmtId="0" fontId="44" fillId="0" borderId="0"/>
    <xf numFmtId="9" fontId="3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5" fillId="0" borderId="0"/>
    <xf numFmtId="0" fontId="45" fillId="0" borderId="0"/>
    <xf numFmtId="0" fontId="45" fillId="0" borderId="0"/>
    <xf numFmtId="0" fontId="142" fillId="0" borderId="0"/>
    <xf numFmtId="0" fontId="45" fillId="0" borderId="0"/>
    <xf numFmtId="0" fontId="1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42" fillId="0" borderId="0"/>
    <xf numFmtId="0" fontId="45" fillId="0" borderId="0"/>
    <xf numFmtId="0" fontId="45" fillId="0" borderId="0"/>
    <xf numFmtId="0" fontId="142" fillId="0" borderId="0"/>
    <xf numFmtId="0" fontId="45" fillId="0" borderId="0"/>
    <xf numFmtId="0" fontId="142" fillId="0" borderId="0"/>
    <xf numFmtId="0" fontId="142" fillId="0" borderId="0"/>
    <xf numFmtId="0" fontId="142" fillId="0" borderId="0"/>
    <xf numFmtId="0" fontId="45" fillId="0" borderId="0"/>
    <xf numFmtId="0" fontId="1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42" fillId="0" borderId="0"/>
    <xf numFmtId="0" fontId="45" fillId="0" borderId="0"/>
    <xf numFmtId="178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8" fontId="38" fillId="0" borderId="0" applyFont="0" applyFill="0" applyBorder="0" applyAlignment="0" applyProtection="0"/>
    <xf numFmtId="191" fontId="38" fillId="0" borderId="0" applyFont="0" applyFill="0" applyBorder="0" applyAlignment="0" applyProtection="0"/>
    <xf numFmtId="43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43" fillId="0" borderId="0" applyProtection="0"/>
    <xf numFmtId="0" fontId="144" fillId="0" borderId="28">
      <alignment horizontal="center" vertical="center"/>
    </xf>
    <xf numFmtId="0" fontId="41" fillId="0" borderId="0">
      <protection locked="0"/>
    </xf>
    <xf numFmtId="0" fontId="41" fillId="0" borderId="0">
      <protection locked="0"/>
    </xf>
    <xf numFmtId="0" fontId="68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68" fillId="0" borderId="0">
      <protection locked="0"/>
    </xf>
    <xf numFmtId="2" fontId="143" fillId="0" borderId="0" applyProtection="0"/>
    <xf numFmtId="0" fontId="143" fillId="0" borderId="0" applyNumberFormat="0" applyFont="0" applyFill="0" applyBorder="0" applyAlignment="0" applyProtection="0"/>
    <xf numFmtId="0" fontId="145" fillId="0" borderId="0" applyProtection="0"/>
    <xf numFmtId="0" fontId="146" fillId="0" borderId="0"/>
    <xf numFmtId="166" fontId="38" fillId="0" borderId="0" applyFont="0" applyFill="0" applyBorder="0" applyAlignment="0" applyProtection="0"/>
    <xf numFmtId="241" fontId="3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12" fillId="0" borderId="0"/>
    <xf numFmtId="242" fontId="146" fillId="0" borderId="0" applyFont="0" applyFill="0" applyBorder="0" applyAlignment="0" applyProtection="0"/>
    <xf numFmtId="243" fontId="146" fillId="0" borderId="0" applyFont="0" applyFill="0" applyBorder="0" applyAlignment="0" applyProtection="0"/>
    <xf numFmtId="244" fontId="146" fillId="0" borderId="0" applyFont="0" applyFill="0" applyBorder="0" applyAlignment="0" applyProtection="0"/>
    <xf numFmtId="245" fontId="146" fillId="0" borderId="0" applyFont="0" applyFill="0" applyBorder="0" applyAlignment="0" applyProtection="0"/>
    <xf numFmtId="223" fontId="38" fillId="0" borderId="0" applyFont="0" applyFill="0" applyBorder="0" applyAlignment="0" applyProtection="0"/>
    <xf numFmtId="0" fontId="12" fillId="0" borderId="0"/>
    <xf numFmtId="0" fontId="28" fillId="0" borderId="0"/>
    <xf numFmtId="170" fontId="54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12" borderId="20" applyNumberFormat="0" applyFont="0" applyAlignment="0" applyProtection="0"/>
    <xf numFmtId="175" fontId="2" fillId="0" borderId="0"/>
    <xf numFmtId="17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17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175" fontId="2" fillId="0" borderId="0"/>
    <xf numFmtId="176" fontId="147" fillId="0" borderId="0"/>
    <xf numFmtId="176" fontId="148" fillId="0" borderId="0"/>
    <xf numFmtId="0" fontId="145" fillId="0" borderId="0" applyProtection="0"/>
    <xf numFmtId="0" fontId="143" fillId="0" borderId="0" applyNumberFormat="0" applyFont="0" applyFill="0" applyBorder="0" applyAlignment="0" applyProtection="0"/>
    <xf numFmtId="0" fontId="143" fillId="0" borderId="0" applyProtection="0"/>
    <xf numFmtId="0" fontId="32" fillId="0" borderId="0"/>
    <xf numFmtId="0" fontId="2" fillId="0" borderId="0"/>
    <xf numFmtId="0" fontId="31" fillId="0" borderId="0"/>
    <xf numFmtId="0" fontId="12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" fillId="0" borderId="0"/>
    <xf numFmtId="0" fontId="2" fillId="0" borderId="0"/>
    <xf numFmtId="178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0" fontId="149" fillId="40" borderId="0" applyNumberFormat="0" applyBorder="0" applyAlignment="0" applyProtection="0"/>
    <xf numFmtId="0" fontId="149" fillId="41" borderId="0" applyNumberFormat="0" applyBorder="0" applyAlignment="0" applyProtection="0"/>
    <xf numFmtId="0" fontId="149" fillId="42" borderId="0" applyNumberFormat="0" applyBorder="0" applyAlignment="0" applyProtection="0"/>
    <xf numFmtId="0" fontId="149" fillId="43" borderId="0" applyNumberFormat="0" applyBorder="0" applyAlignment="0" applyProtection="0"/>
    <xf numFmtId="0" fontId="149" fillId="44" borderId="0" applyNumberFormat="0" applyBorder="0" applyAlignment="0" applyProtection="0"/>
    <xf numFmtId="0" fontId="149" fillId="45" borderId="0" applyNumberFormat="0" applyBorder="0" applyAlignment="0" applyProtection="0"/>
    <xf numFmtId="191" fontId="38" fillId="0" borderId="0" applyFont="0" applyFill="0" applyBorder="0" applyAlignment="0" applyProtection="0"/>
    <xf numFmtId="0" fontId="149" fillId="46" borderId="0" applyNumberFormat="0" applyBorder="0" applyAlignment="0" applyProtection="0"/>
    <xf numFmtId="0" fontId="149" fillId="47" borderId="0" applyNumberFormat="0" applyBorder="0" applyAlignment="0" applyProtection="0"/>
    <xf numFmtId="0" fontId="149" fillId="48" borderId="0" applyNumberFormat="0" applyBorder="0" applyAlignment="0" applyProtection="0"/>
    <xf numFmtId="0" fontId="149" fillId="43" borderId="0" applyNumberFormat="0" applyBorder="0" applyAlignment="0" applyProtection="0"/>
    <xf numFmtId="0" fontId="149" fillId="46" borderId="0" applyNumberFormat="0" applyBorder="0" applyAlignment="0" applyProtection="0"/>
    <xf numFmtId="0" fontId="149" fillId="49" borderId="0" applyNumberFormat="0" applyBorder="0" applyAlignment="0" applyProtection="0"/>
    <xf numFmtId="0" fontId="150" fillId="50" borderId="0" applyNumberFormat="0" applyBorder="0" applyAlignment="0" applyProtection="0"/>
    <xf numFmtId="0" fontId="150" fillId="47" borderId="0" applyNumberFormat="0" applyBorder="0" applyAlignment="0" applyProtection="0"/>
    <xf numFmtId="0" fontId="150" fillId="48" borderId="0" applyNumberFormat="0" applyBorder="0" applyAlignment="0" applyProtection="0"/>
    <xf numFmtId="0" fontId="150" fillId="51" borderId="0" applyNumberFormat="0" applyBorder="0" applyAlignment="0" applyProtection="0"/>
    <xf numFmtId="0" fontId="150" fillId="52" borderId="0" applyNumberFormat="0" applyBorder="0" applyAlignment="0" applyProtection="0"/>
    <xf numFmtId="0" fontId="150" fillId="53" borderId="0" applyNumberFormat="0" applyBorder="0" applyAlignment="0" applyProtection="0"/>
    <xf numFmtId="176" fontId="48" fillId="0" borderId="0">
      <alignment horizontal="left" wrapText="1"/>
    </xf>
    <xf numFmtId="0" fontId="48" fillId="0" borderId="0">
      <alignment horizontal="left" wrapText="1"/>
    </xf>
    <xf numFmtId="1" fontId="73" fillId="37" borderId="24">
      <alignment horizontal="right" vertical="center"/>
    </xf>
    <xf numFmtId="1" fontId="73" fillId="37" borderId="24">
      <alignment horizontal="right" vertical="center"/>
    </xf>
    <xf numFmtId="0" fontId="151" fillId="37" borderId="24">
      <alignment horizontal="right" vertical="center"/>
    </xf>
    <xf numFmtId="0" fontId="151" fillId="37" borderId="24">
      <alignment horizontal="right" vertical="center"/>
    </xf>
    <xf numFmtId="0" fontId="12" fillId="37" borderId="34"/>
    <xf numFmtId="0" fontId="12" fillId="37" borderId="34"/>
    <xf numFmtId="0" fontId="73" fillId="38" borderId="24">
      <alignment horizontal="center" vertical="center"/>
    </xf>
    <xf numFmtId="0" fontId="73" fillId="38" borderId="24">
      <alignment horizontal="center" vertical="center"/>
    </xf>
    <xf numFmtId="1" fontId="73" fillId="37" borderId="24">
      <alignment horizontal="right" vertical="center"/>
    </xf>
    <xf numFmtId="1" fontId="73" fillId="37" borderId="24">
      <alignment horizontal="right" vertical="center"/>
    </xf>
    <xf numFmtId="0" fontId="12" fillId="37" borderId="0"/>
    <xf numFmtId="0" fontId="12" fillId="37" borderId="0"/>
    <xf numFmtId="0" fontId="74" fillId="37" borderId="24">
      <alignment horizontal="left" vertical="center"/>
    </xf>
    <xf numFmtId="0" fontId="74" fillId="37" borderId="24">
      <alignment horizontal="left" vertical="center"/>
    </xf>
    <xf numFmtId="0" fontId="74" fillId="37" borderId="24"/>
    <xf numFmtId="0" fontId="74" fillId="37" borderId="24"/>
    <xf numFmtId="0" fontId="151" fillId="37" borderId="24">
      <alignment horizontal="right" vertical="center"/>
    </xf>
    <xf numFmtId="0" fontId="151" fillId="37" borderId="24">
      <alignment horizontal="right" vertical="center"/>
    </xf>
    <xf numFmtId="0" fontId="76" fillId="60" borderId="24">
      <alignment horizontal="left" vertical="center"/>
    </xf>
    <xf numFmtId="0" fontId="76" fillId="60" borderId="24">
      <alignment horizontal="left" vertical="center"/>
    </xf>
    <xf numFmtId="0" fontId="76" fillId="60" borderId="24">
      <alignment horizontal="left" vertical="center"/>
    </xf>
    <xf numFmtId="0" fontId="76" fillId="60" borderId="24">
      <alignment horizontal="left" vertical="center"/>
    </xf>
    <xf numFmtId="0" fontId="152" fillId="37" borderId="24">
      <alignment horizontal="left" vertical="center"/>
    </xf>
    <xf numFmtId="0" fontId="152" fillId="37" borderId="24">
      <alignment horizontal="left" vertical="center"/>
    </xf>
    <xf numFmtId="0" fontId="78" fillId="37" borderId="34"/>
    <xf numFmtId="0" fontId="78" fillId="37" borderId="34"/>
    <xf numFmtId="0" fontId="73" fillId="63" borderId="24">
      <alignment horizontal="left" vertical="center"/>
    </xf>
    <xf numFmtId="0" fontId="73" fillId="63" borderId="24">
      <alignment horizontal="left" vertical="center"/>
    </xf>
    <xf numFmtId="0" fontId="7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9" fontId="149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169" fontId="149" fillId="0" borderId="0" applyFont="0" applyFill="0" applyBorder="0" applyAlignment="0" applyProtection="0"/>
    <xf numFmtId="0" fontId="45" fillId="0" borderId="0"/>
    <xf numFmtId="175" fontId="45" fillId="0" borderId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80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59" fillId="12" borderId="20" applyNumberFormat="0" applyFont="0" applyAlignment="0" applyProtection="0"/>
    <xf numFmtId="0" fontId="59" fillId="12" borderId="20" applyNumberFormat="0" applyFont="0" applyAlignment="0" applyProtection="0"/>
    <xf numFmtId="0" fontId="37" fillId="0" borderId="0" applyNumberFormat="0" applyFont="0" applyFill="0" applyBorder="0" applyAlignment="0"/>
    <xf numFmtId="203" fontId="80" fillId="0" borderId="0" applyFont="0" applyFill="0" applyBorder="0" applyAlignment="0" applyProtection="0"/>
    <xf numFmtId="0" fontId="45" fillId="0" borderId="0"/>
    <xf numFmtId="175" fontId="8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246" fontId="31" fillId="0" borderId="0" applyFont="0" applyFill="0" applyBorder="0" applyAlignment="0" applyProtection="0"/>
    <xf numFmtId="170" fontId="148" fillId="0" borderId="0"/>
    <xf numFmtId="175" fontId="45" fillId="0" borderId="0"/>
    <xf numFmtId="0" fontId="91" fillId="0" borderId="0" applyNumberFormat="0" applyFill="0" applyBorder="0" applyAlignment="0" applyProtection="0"/>
    <xf numFmtId="176" fontId="42" fillId="0" borderId="0">
      <protection locked="0"/>
    </xf>
    <xf numFmtId="0" fontId="143" fillId="0" borderId="0" applyNumberFormat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176" fontId="42" fillId="0" borderId="0">
      <protection locked="0"/>
    </xf>
    <xf numFmtId="0" fontId="145" fillId="0" borderId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166" fontId="38" fillId="0" borderId="0" applyFont="0" applyFill="0" applyBorder="0" applyAlignment="0" applyProtection="0"/>
    <xf numFmtId="3" fontId="33" fillId="0" borderId="0" applyFont="0" applyFill="0" applyBorder="0" applyAlignment="0" applyProtection="0"/>
    <xf numFmtId="10" fontId="50" fillId="37" borderId="24" applyNumberFormat="0" applyBorder="0" applyAlignment="0" applyProtection="0"/>
    <xf numFmtId="10" fontId="50" fillId="63" borderId="24" applyNumberFormat="0" applyBorder="0" applyAlignment="0" applyProtection="0"/>
    <xf numFmtId="166" fontId="51" fillId="0" borderId="0" applyFill="0" applyBorder="0"/>
    <xf numFmtId="172" fontId="116" fillId="0" borderId="0"/>
    <xf numFmtId="0" fontId="44" fillId="0" borderId="0"/>
    <xf numFmtId="175" fontId="51" fillId="0" borderId="0"/>
    <xf numFmtId="0" fontId="44" fillId="0" borderId="0"/>
    <xf numFmtId="175" fontId="44" fillId="0" borderId="0"/>
    <xf numFmtId="175" fontId="46" fillId="0" borderId="0"/>
    <xf numFmtId="0" fontId="43" fillId="0" borderId="0"/>
    <xf numFmtId="0" fontId="79" fillId="0" borderId="0"/>
    <xf numFmtId="0" fontId="43" fillId="0" borderId="0"/>
    <xf numFmtId="0" fontId="79" fillId="0" borderId="0"/>
    <xf numFmtId="0" fontId="43" fillId="0" borderId="0"/>
    <xf numFmtId="0" fontId="79" fillId="0" borderId="0"/>
    <xf numFmtId="0" fontId="43" fillId="0" borderId="0"/>
    <xf numFmtId="0" fontId="149" fillId="0" borderId="0"/>
    <xf numFmtId="0" fontId="149" fillId="0" borderId="0"/>
    <xf numFmtId="0" fontId="149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175" fontId="2" fillId="0" borderId="0"/>
    <xf numFmtId="0" fontId="2" fillId="0" borderId="0"/>
    <xf numFmtId="17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5" fontId="2" fillId="0" borderId="0"/>
    <xf numFmtId="0" fontId="2" fillId="0" borderId="0"/>
    <xf numFmtId="0" fontId="149" fillId="0" borderId="0"/>
    <xf numFmtId="175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5" fontId="2" fillId="0" borderId="0"/>
    <xf numFmtId="0" fontId="2" fillId="0" borderId="0"/>
    <xf numFmtId="0" fontId="149" fillId="0" borderId="0"/>
    <xf numFmtId="175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4" fillId="0" borderId="0"/>
    <xf numFmtId="0" fontId="149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0" fontId="149" fillId="0" borderId="0"/>
    <xf numFmtId="175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5" fontId="2" fillId="0" borderId="0"/>
    <xf numFmtId="0" fontId="2" fillId="0" borderId="0"/>
    <xf numFmtId="175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49" fillId="0" borderId="0"/>
    <xf numFmtId="0" fontId="149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0" fontId="149" fillId="0" borderId="0"/>
    <xf numFmtId="0" fontId="149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0" fontId="2" fillId="0" borderId="0"/>
    <xf numFmtId="0" fontId="31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175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175" fontId="2" fillId="0" borderId="0"/>
    <xf numFmtId="0" fontId="149" fillId="0" borderId="0"/>
    <xf numFmtId="0" fontId="2" fillId="0" borderId="0"/>
    <xf numFmtId="175" fontId="2" fillId="0" borderId="0"/>
    <xf numFmtId="0" fontId="149" fillId="0" borderId="0"/>
    <xf numFmtId="0" fontId="149" fillId="0" borderId="0"/>
    <xf numFmtId="176" fontId="147" fillId="0" borderId="0"/>
    <xf numFmtId="0" fontId="45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3" fontId="31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0" fillId="0" borderId="0"/>
    <xf numFmtId="175" fontId="30" fillId="0" borderId="0">
      <alignment vertical="top"/>
    </xf>
    <xf numFmtId="0" fontId="12" fillId="0" borderId="0"/>
    <xf numFmtId="176" fontId="148" fillId="0" borderId="0"/>
    <xf numFmtId="0" fontId="46" fillId="0" borderId="0"/>
    <xf numFmtId="175" fontId="12" fillId="0" borderId="0" applyNumberFormat="0"/>
    <xf numFmtId="0" fontId="41" fillId="0" borderId="25">
      <protection locked="0"/>
    </xf>
    <xf numFmtId="0" fontId="12" fillId="0" borderId="44" applyNumberFormat="0" applyFont="0" applyFill="0" applyAlignment="0" applyProtection="0"/>
    <xf numFmtId="209" fontId="12" fillId="0" borderId="0" applyFont="0" applyFill="0" applyBorder="0" applyAlignment="0" applyProtection="0"/>
    <xf numFmtId="247" fontId="12" fillId="0" borderId="0" applyFont="0" applyFill="0" applyBorder="0" applyAlignment="0" applyProtection="0"/>
    <xf numFmtId="0" fontId="150" fillId="54" borderId="0" applyNumberFormat="0" applyBorder="0" applyAlignment="0" applyProtection="0"/>
    <xf numFmtId="0" fontId="150" fillId="55" borderId="0" applyNumberFormat="0" applyBorder="0" applyAlignment="0" applyProtection="0"/>
    <xf numFmtId="0" fontId="150" fillId="56" borderId="0" applyNumberFormat="0" applyBorder="0" applyAlignment="0" applyProtection="0"/>
    <xf numFmtId="0" fontId="150" fillId="51" borderId="0" applyNumberFormat="0" applyBorder="0" applyAlignment="0" applyProtection="0"/>
    <xf numFmtId="0" fontId="150" fillId="52" borderId="0" applyNumberFormat="0" applyBorder="0" applyAlignment="0" applyProtection="0"/>
    <xf numFmtId="0" fontId="150" fillId="57" borderId="0" applyNumberFormat="0" applyBorder="0" applyAlignment="0" applyProtection="0"/>
    <xf numFmtId="0" fontId="155" fillId="45" borderId="32" applyNumberFormat="0" applyAlignment="0" applyProtection="0"/>
    <xf numFmtId="0" fontId="156" fillId="58" borderId="42" applyNumberFormat="0" applyAlignment="0" applyProtection="0"/>
    <xf numFmtId="0" fontId="157" fillId="58" borderId="32" applyNumberFormat="0" applyAlignment="0" applyProtection="0"/>
    <xf numFmtId="175" fontId="136" fillId="0" borderId="0" applyProtection="0"/>
    <xf numFmtId="0" fontId="158" fillId="0" borderId="37" applyNumberFormat="0" applyFill="0" applyAlignment="0" applyProtection="0"/>
    <xf numFmtId="0" fontId="159" fillId="0" borderId="38" applyNumberFormat="0" applyFill="0" applyAlignment="0" applyProtection="0"/>
    <xf numFmtId="0" fontId="160" fillId="0" borderId="39" applyNumberFormat="0" applyFill="0" applyAlignment="0" applyProtection="0"/>
    <xf numFmtId="0" fontId="160" fillId="0" borderId="0" applyNumberFormat="0" applyFill="0" applyBorder="0" applyAlignment="0" applyProtection="0"/>
    <xf numFmtId="175" fontId="137" fillId="0" borderId="0" applyProtection="0"/>
    <xf numFmtId="175" fontId="138" fillId="0" borderId="0" applyProtection="0"/>
    <xf numFmtId="0" fontId="161" fillId="0" borderId="47" applyNumberFormat="0" applyFill="0" applyAlignment="0" applyProtection="0"/>
    <xf numFmtId="175" fontId="136" fillId="0" borderId="25" applyProtection="0"/>
    <xf numFmtId="0" fontId="162" fillId="59" borderId="33" applyNumberFormat="0" applyAlignment="0" applyProtection="0"/>
    <xf numFmtId="0" fontId="163" fillId="0" borderId="0" applyNumberFormat="0" applyFill="0" applyBorder="0" applyAlignment="0" applyProtection="0"/>
    <xf numFmtId="0" fontId="164" fillId="61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165" fillId="41" borderId="0" applyNumberFormat="0" applyBorder="0" applyAlignment="0" applyProtection="0"/>
    <xf numFmtId="0" fontId="166" fillId="0" borderId="0" applyNumberFormat="0" applyFill="0" applyBorder="0" applyAlignment="0" applyProtection="0"/>
    <xf numFmtId="0" fontId="167" fillId="62" borderId="41" applyNumberFormat="0" applyFont="0" applyAlignment="0" applyProtection="0"/>
    <xf numFmtId="0" fontId="168" fillId="0" borderId="40" applyNumberFormat="0" applyFill="0" applyAlignment="0" applyProtection="0"/>
    <xf numFmtId="175" fontId="136" fillId="0" borderId="0"/>
    <xf numFmtId="0" fontId="169" fillId="0" borderId="0" applyNumberForma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170" fillId="42" borderId="0" applyNumberFormat="0" applyBorder="0" applyAlignment="0" applyProtection="0"/>
    <xf numFmtId="0" fontId="2" fillId="0" borderId="0"/>
    <xf numFmtId="0" fontId="12" fillId="0" borderId="0">
      <protection locked="0"/>
    </xf>
    <xf numFmtId="0" fontId="2" fillId="0" borderId="0"/>
    <xf numFmtId="0" fontId="2" fillId="0" borderId="0"/>
    <xf numFmtId="0" fontId="171" fillId="0" borderId="0" applyNumberFormat="0" applyFill="0" applyBorder="0" applyAlignment="0" applyProtection="0">
      <protection locked="0"/>
    </xf>
    <xf numFmtId="43" fontId="1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45" fillId="0" borderId="0" applyProtection="0"/>
    <xf numFmtId="0" fontId="143" fillId="0" borderId="0" applyNumberFormat="0" applyFont="0" applyFill="0" applyBorder="0" applyAlignment="0" applyProtection="0"/>
    <xf numFmtId="0" fontId="143" fillId="0" borderId="0" applyProtection="0"/>
    <xf numFmtId="0" fontId="2" fillId="0" borderId="0"/>
    <xf numFmtId="0" fontId="12" fillId="0" borderId="0"/>
    <xf numFmtId="0" fontId="141" fillId="0" borderId="0"/>
    <xf numFmtId="0" fontId="2" fillId="0" borderId="0"/>
    <xf numFmtId="0" fontId="12" fillId="0" borderId="0">
      <protection locked="0"/>
    </xf>
    <xf numFmtId="0" fontId="33" fillId="0" borderId="0"/>
    <xf numFmtId="43" fontId="33" fillId="0" borderId="0" applyFont="0" applyFill="0" applyBorder="0" applyAlignment="0" applyProtection="0"/>
    <xf numFmtId="0" fontId="1" fillId="0" borderId="0"/>
    <xf numFmtId="210" fontId="12" fillId="0" borderId="0" applyFont="0" applyFill="0" applyBorder="0" applyAlignment="0" applyProtection="0"/>
    <xf numFmtId="210" fontId="12" fillId="0" borderId="0" applyFont="0" applyFill="0" applyBorder="0" applyAlignment="0" applyProtection="0"/>
    <xf numFmtId="0" fontId="1" fillId="0" borderId="0"/>
    <xf numFmtId="0" fontId="1" fillId="0" borderId="0"/>
    <xf numFmtId="0" fontId="172" fillId="0" borderId="0"/>
    <xf numFmtId="0" fontId="12" fillId="0" borderId="0">
      <alignment vertical="top"/>
    </xf>
    <xf numFmtId="0" fontId="1" fillId="0" borderId="0"/>
    <xf numFmtId="0" fontId="1" fillId="0" borderId="0"/>
    <xf numFmtId="210" fontId="12" fillId="0" borderId="0" applyFont="0" applyFill="0" applyBorder="0" applyAlignment="0" applyProtection="0"/>
    <xf numFmtId="0" fontId="12" fillId="0" borderId="0"/>
    <xf numFmtId="0" fontId="1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3" borderId="0" xfId="0" applyFill="1" applyAlignment="1">
      <alignment horizontal="left" vertical="top"/>
    </xf>
    <xf numFmtId="0" fontId="11" fillId="4" borderId="4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11" fillId="4" borderId="6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11" fillId="4" borderId="9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1" fillId="2" borderId="0" xfId="0" applyFont="1" applyFill="1"/>
    <xf numFmtId="0" fontId="4" fillId="0" borderId="0" xfId="0" applyFont="1"/>
    <xf numFmtId="0" fontId="0" fillId="2" borderId="10" xfId="0" applyFill="1" applyBorder="1" applyAlignment="1">
      <alignment horizontal="left" vertical="top"/>
    </xf>
    <xf numFmtId="0" fontId="10" fillId="2" borderId="11" xfId="0" applyFont="1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 wrapText="1"/>
    </xf>
    <xf numFmtId="4" fontId="4" fillId="0" borderId="0" xfId="7" applyNumberFormat="1" applyFont="1" applyAlignment="1">
      <alignment horizontal="left" vertical="top"/>
    </xf>
    <xf numFmtId="0" fontId="0" fillId="0" borderId="0" xfId="10" applyFont="1" applyProtection="1">
      <protection locked="0"/>
    </xf>
    <xf numFmtId="0" fontId="0" fillId="0" borderId="0" xfId="10" applyFont="1" applyAlignment="1" applyProtection="1">
      <alignment horizontal="left"/>
      <protection locked="0"/>
    </xf>
    <xf numFmtId="0" fontId="11" fillId="5" borderId="0" xfId="0" applyFont="1" applyFill="1" applyAlignment="1">
      <alignment horizontal="left" vertical="top"/>
    </xf>
    <xf numFmtId="0" fontId="11" fillId="5" borderId="0" xfId="0" applyFont="1" applyFill="1"/>
    <xf numFmtId="0" fontId="0" fillId="5" borderId="0" xfId="0" applyFill="1" applyAlignment="1">
      <alignment horizontal="left" vertical="top"/>
    </xf>
    <xf numFmtId="0" fontId="2" fillId="0" borderId="0" xfId="51" applyAlignment="1">
      <alignment horizontal="left" vertical="top"/>
    </xf>
    <xf numFmtId="0" fontId="11" fillId="0" borderId="0" xfId="0" applyFont="1"/>
    <xf numFmtId="0" fontId="1" fillId="0" borderId="0" xfId="5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4" fontId="11" fillId="5" borderId="2" xfId="7" applyNumberFormat="1" applyFont="1" applyFill="1" applyBorder="1" applyAlignment="1">
      <alignment horizontal="left" vertical="top"/>
    </xf>
    <xf numFmtId="0" fontId="173" fillId="5" borderId="0" xfId="10" applyFont="1" applyFill="1" applyProtection="1">
      <protection locked="0"/>
    </xf>
    <xf numFmtId="0" fontId="173" fillId="5" borderId="0" xfId="10" applyFont="1" applyFill="1" applyAlignment="1" applyProtection="1">
      <alignment horizontal="left"/>
      <protection locked="0"/>
    </xf>
    <xf numFmtId="0" fontId="0" fillId="0" borderId="0" xfId="10" applyFont="1" applyAlignment="1" applyProtection="1">
      <alignment horizontal="left" indent="1"/>
      <protection locked="0"/>
    </xf>
    <xf numFmtId="0" fontId="0" fillId="0" borderId="0" xfId="0" applyAlignment="1">
      <alignment horizontal="left" vertical="top" indent="1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4" fillId="0" borderId="0" xfId="7" applyNumberFormat="1" applyFont="1" applyAlignment="1">
      <alignment horizontal="left" vertical="top"/>
    </xf>
    <xf numFmtId="4" fontId="11" fillId="5" borderId="2" xfId="7" applyNumberFormat="1" applyFont="1" applyFill="1" applyBorder="1" applyAlignment="1">
      <alignment horizontal="center" vertical="top"/>
    </xf>
    <xf numFmtId="4" fontId="4" fillId="0" borderId="0" xfId="7" applyNumberFormat="1" applyFont="1" applyAlignment="1">
      <alignment horizontal="center" vertical="top"/>
    </xf>
    <xf numFmtId="2" fontId="4" fillId="0" borderId="0" xfId="7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66" fontId="4" fillId="0" borderId="0" xfId="7" applyNumberFormat="1" applyFont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165" fontId="10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 vertical="top"/>
    </xf>
    <xf numFmtId="165" fontId="4" fillId="0" borderId="0" xfId="7" applyNumberFormat="1" applyFont="1" applyAlignment="1">
      <alignment horizontal="center" vertical="top"/>
    </xf>
  </cellXfs>
  <cellStyles count="2966">
    <cellStyle name=" 1" xfId="2072" xr:uid="{00000000-0005-0000-0000-000000000000}"/>
    <cellStyle name="_Bok2" xfId="2073" xr:uid="{00000000-0005-0000-0000-000001000000}"/>
    <cellStyle name="_detail" xfId="2074" xr:uid="{00000000-0005-0000-0000-000002000000}"/>
    <cellStyle name="_Egbop" xfId="94" xr:uid="{00000000-0005-0000-0000-000003000000}"/>
    <cellStyle name="_FNS" xfId="2075" xr:uid="{00000000-0005-0000-0000-000004000000}"/>
    <cellStyle name="_IIP-Banki 2007Q1" xfId="2077" xr:uid="{00000000-0005-0000-0000-000006000000}"/>
    <cellStyle name="_IIP-Bnk2006-08new" xfId="2078" xr:uid="{00000000-0005-0000-0000-000007000000}"/>
    <cellStyle name="_IIP-new" xfId="2079" xr:uid="{00000000-0005-0000-0000-000008000000}"/>
    <cellStyle name="_IIP-SM" xfId="2080" xr:uid="{00000000-0005-0000-0000-000009000000}"/>
    <cellStyle name="_IIP20073" xfId="2076" xr:uid="{00000000-0005-0000-0000-000005000000}"/>
    <cellStyle name="_LBY-BOP" xfId="95" xr:uid="{00000000-0005-0000-0000-00000A000000}"/>
    <cellStyle name="_LBY-Macro Tables" xfId="96" xr:uid="{00000000-0005-0000-0000-00000B000000}"/>
    <cellStyle name="_MSX+INV" xfId="2081" xr:uid="{00000000-0005-0000-0000-00000C000000}"/>
    <cellStyle name="_Sheet1" xfId="2082" xr:uid="{00000000-0005-0000-0000-00000D000000}"/>
    <cellStyle name="_Sheet1_1" xfId="2083" xr:uid="{00000000-0005-0000-0000-00000E000000}"/>
    <cellStyle name="_Sheet1_1_FNS" xfId="2084" xr:uid="{00000000-0005-0000-0000-00000F000000}"/>
    <cellStyle name="_Sheet1_1_IIP-Bnk2006-08new" xfId="2085" xr:uid="{00000000-0005-0000-0000-000010000000}"/>
    <cellStyle name="_Sheet1_1_Sheet1" xfId="2086" xr:uid="{00000000-0005-0000-0000-000011000000}"/>
    <cellStyle name="_Sheet1_1_Sheet2" xfId="2087" xr:uid="{00000000-0005-0000-0000-000012000000}"/>
    <cellStyle name="_Sheet1_1_Sheet3" xfId="2088" xr:uid="{00000000-0005-0000-0000-000013000000}"/>
    <cellStyle name="_Sheet1_1_SM" xfId="2089" xr:uid="{00000000-0005-0000-0000-000014000000}"/>
    <cellStyle name="_Sheet1_2" xfId="2090" xr:uid="{00000000-0005-0000-0000-000015000000}"/>
    <cellStyle name="_Sheet1_FNS" xfId="2091" xr:uid="{00000000-0005-0000-0000-000016000000}"/>
    <cellStyle name="_Sheet1_IIP-Bnk2006-08new" xfId="2092" xr:uid="{00000000-0005-0000-0000-000017000000}"/>
    <cellStyle name="_Sheet1_Sheet1" xfId="2093" xr:uid="{00000000-0005-0000-0000-000018000000}"/>
    <cellStyle name="_Sheet1_Sheet1_1" xfId="2094" xr:uid="{00000000-0005-0000-0000-000019000000}"/>
    <cellStyle name="_Sheet1_Sheet2" xfId="2095" xr:uid="{00000000-0005-0000-0000-00001A000000}"/>
    <cellStyle name="_Sheet1_Sheet2_1" xfId="2096" xr:uid="{00000000-0005-0000-0000-00001B000000}"/>
    <cellStyle name="_Sheet1_Sheet3" xfId="2097" xr:uid="{00000000-0005-0000-0000-00001C000000}"/>
    <cellStyle name="_Sheet1_Sheet3_1" xfId="2098" xr:uid="{00000000-0005-0000-0000-00001D000000}"/>
    <cellStyle name="_Sheet1_Sheet3_IIP-Bnk2006-08new" xfId="2099" xr:uid="{00000000-0005-0000-0000-00001E000000}"/>
    <cellStyle name="_Sheet1_SM" xfId="2100" xr:uid="{00000000-0005-0000-0000-00001F000000}"/>
    <cellStyle name="_Sheet1_SM_1" xfId="2101" xr:uid="{00000000-0005-0000-0000-000020000000}"/>
    <cellStyle name="_Sheet1_SXV-vali" xfId="2102" xr:uid="{00000000-0005-0000-0000-000021000000}"/>
    <cellStyle name="_Sheet2" xfId="2103" xr:uid="{00000000-0005-0000-0000-000022000000}"/>
    <cellStyle name="_Sheet3" xfId="2104" xr:uid="{00000000-0005-0000-0000-000023000000}"/>
    <cellStyle name="_Sheet4" xfId="2105" xr:uid="{00000000-0005-0000-0000-000024000000}"/>
    <cellStyle name="_Sheet5" xfId="2106" xr:uid="{00000000-0005-0000-0000-000025000000}"/>
    <cellStyle name="_Sheet5_1" xfId="2107" xr:uid="{00000000-0005-0000-0000-000026000000}"/>
    <cellStyle name="_SM" xfId="2108" xr:uid="{00000000-0005-0000-0000-000027000000}"/>
    <cellStyle name="=C:\WINNT35\SYSTEM32\COMMAND.COM" xfId="53" xr:uid="{00000000-0005-0000-0000-000028000000}"/>
    <cellStyle name="=C:\WINNT35\SYSTEM32\COMMAND.COM 10" xfId="2050" xr:uid="{00000000-0005-0000-0000-000029000000}"/>
    <cellStyle name="=C:\WINNT35\SYSTEM32\COMMAND.COM 10 10" xfId="57" xr:uid="{00000000-0005-0000-0000-00002A000000}"/>
    <cellStyle name="=C:\WINNT35\SYSTEM32\COMMAND.COM 11" xfId="2051" xr:uid="{00000000-0005-0000-0000-00002B000000}"/>
    <cellStyle name="=C:\WINNT35\SYSTEM32\COMMAND.COM 12" xfId="2052" xr:uid="{00000000-0005-0000-0000-00002C000000}"/>
    <cellStyle name="=C:\WINNT35\SYSTEM32\COMMAND.COM 13" xfId="2053" xr:uid="{00000000-0005-0000-0000-00002D000000}"/>
    <cellStyle name="=C:\WINNT35\SYSTEM32\COMMAND.COM 14" xfId="2054" xr:uid="{00000000-0005-0000-0000-00002E000000}"/>
    <cellStyle name="=C:\WINNT35\SYSTEM32\COMMAND.COM 15" xfId="2055" xr:uid="{00000000-0005-0000-0000-00002F000000}"/>
    <cellStyle name="=C:\WINNT35\SYSTEM32\COMMAND.COM 15 48" xfId="56" xr:uid="{00000000-0005-0000-0000-000030000000}"/>
    <cellStyle name="=C:\WINNT35\SYSTEM32\COMMAND.COM 16" xfId="2056" xr:uid="{00000000-0005-0000-0000-000031000000}"/>
    <cellStyle name="=C:\WINNT35\SYSTEM32\COMMAND.COM 17" xfId="2057" xr:uid="{00000000-0005-0000-0000-000032000000}"/>
    <cellStyle name="=C:\WINNT35\SYSTEM32\COMMAND.COM 18" xfId="2058" xr:uid="{00000000-0005-0000-0000-000033000000}"/>
    <cellStyle name="=C:\WINNT35\SYSTEM32\COMMAND.COM 19" xfId="2059" xr:uid="{00000000-0005-0000-0000-000034000000}"/>
    <cellStyle name="=C:\WINNT35\SYSTEM32\COMMAND.COM 2" xfId="2060" xr:uid="{00000000-0005-0000-0000-000035000000}"/>
    <cellStyle name="=C:\WINNT35\SYSTEM32\COMMAND.COM 2 2" xfId="2343" xr:uid="{00000000-0005-0000-0000-000036000000}"/>
    <cellStyle name="=C:\WINNT35\SYSTEM32\COMMAND.COM 20" xfId="2061" xr:uid="{00000000-0005-0000-0000-000037000000}"/>
    <cellStyle name="=C:\WINNT35\SYSTEM32\COMMAND.COM 21" xfId="2342" xr:uid="{00000000-0005-0000-0000-000038000000}"/>
    <cellStyle name="=C:\WINNT35\SYSTEM32\COMMAND.COM 22" xfId="2049" xr:uid="{00000000-0005-0000-0000-000039000000}"/>
    <cellStyle name="=C:\WINNT35\SYSTEM32\COMMAND.COM 23" xfId="2922" xr:uid="{00000000-0005-0000-0000-00003A000000}"/>
    <cellStyle name="=C:\WINNT35\SYSTEM32\COMMAND.COM 24" xfId="68" xr:uid="{00000000-0005-0000-0000-00003B000000}"/>
    <cellStyle name="=C:\WINNT35\SYSTEM32\COMMAND.COM 3" xfId="69" xr:uid="{00000000-0005-0000-0000-00003C000000}"/>
    <cellStyle name="=C:\WINNT35\SYSTEM32\COMMAND.COM 3 2" xfId="2062" xr:uid="{00000000-0005-0000-0000-00003D000000}"/>
    <cellStyle name="=C:\WINNT35\SYSTEM32\COMMAND.COM 4" xfId="70" xr:uid="{00000000-0005-0000-0000-00003E000000}"/>
    <cellStyle name="=C:\WINNT35\SYSTEM32\COMMAND.COM 4 2" xfId="2063" xr:uid="{00000000-0005-0000-0000-00003F000000}"/>
    <cellStyle name="=C:\WINNT35\SYSTEM32\COMMAND.COM 5" xfId="2064" xr:uid="{00000000-0005-0000-0000-000040000000}"/>
    <cellStyle name="=C:\WINNT35\SYSTEM32\COMMAND.COM 6" xfId="2065" xr:uid="{00000000-0005-0000-0000-000041000000}"/>
    <cellStyle name="=C:\WINNT35\SYSTEM32\COMMAND.COM 7" xfId="2066" xr:uid="{00000000-0005-0000-0000-000042000000}"/>
    <cellStyle name="=C:\WINNT35\SYSTEM32\COMMAND.COM 8" xfId="2067" xr:uid="{00000000-0005-0000-0000-000043000000}"/>
    <cellStyle name="=C:\WINNT35\SYSTEM32\COMMAND.COM 9" xfId="2068" xr:uid="{00000000-0005-0000-0000-000044000000}"/>
    <cellStyle name="0mitP" xfId="97" xr:uid="{00000000-0005-0000-0000-000045000000}"/>
    <cellStyle name="0mitP 2" xfId="98" xr:uid="{00000000-0005-0000-0000-000046000000}"/>
    <cellStyle name="0ohneP" xfId="99" xr:uid="{00000000-0005-0000-0000-000047000000}"/>
    <cellStyle name="0ohneP 2" xfId="100" xr:uid="{00000000-0005-0000-0000-000048000000}"/>
    <cellStyle name="1 indent" xfId="101" xr:uid="{00000000-0005-0000-0000-000049000000}"/>
    <cellStyle name="1 indent 2" xfId="102" xr:uid="{00000000-0005-0000-0000-00004A000000}"/>
    <cellStyle name="1 indent 3" xfId="2355" xr:uid="{00000000-0005-0000-0000-00004B000000}"/>
    <cellStyle name="1 indent 4" xfId="2109" xr:uid="{00000000-0005-0000-0000-00004C000000}"/>
    <cellStyle name="10mitP" xfId="103" xr:uid="{00000000-0005-0000-0000-00004D000000}"/>
    <cellStyle name="10mitP 2" xfId="104" xr:uid="{00000000-0005-0000-0000-00004E000000}"/>
    <cellStyle name="12mitP" xfId="105" xr:uid="{00000000-0005-0000-0000-00004F000000}"/>
    <cellStyle name="12mitP 2" xfId="106" xr:uid="{00000000-0005-0000-0000-000050000000}"/>
    <cellStyle name="12ohneP" xfId="107" xr:uid="{00000000-0005-0000-0000-000051000000}"/>
    <cellStyle name="12ohneP 2" xfId="108" xr:uid="{00000000-0005-0000-0000-000052000000}"/>
    <cellStyle name="13mitP" xfId="109" xr:uid="{00000000-0005-0000-0000-000053000000}"/>
    <cellStyle name="13mitP 2" xfId="110" xr:uid="{00000000-0005-0000-0000-000054000000}"/>
    <cellStyle name="1mitP" xfId="111" xr:uid="{00000000-0005-0000-0000-000055000000}"/>
    <cellStyle name="1mitP 2" xfId="112" xr:uid="{00000000-0005-0000-0000-000056000000}"/>
    <cellStyle name="1ohneP" xfId="113" xr:uid="{00000000-0005-0000-0000-000057000000}"/>
    <cellStyle name="2 indents" xfId="114" xr:uid="{00000000-0005-0000-0000-000058000000}"/>
    <cellStyle name="2 indents 2" xfId="115" xr:uid="{00000000-0005-0000-0000-000059000000}"/>
    <cellStyle name="2 indents 3" xfId="2356" xr:uid="{00000000-0005-0000-0000-00005A000000}"/>
    <cellStyle name="2 indents 4" xfId="2110" xr:uid="{00000000-0005-0000-0000-00005B000000}"/>
    <cellStyle name="20% - Accent1" xfId="28" builtinId="30" customBuiltin="1"/>
    <cellStyle name="20% - Accent1 10" xfId="116" xr:uid="{00000000-0005-0000-0000-00005D000000}"/>
    <cellStyle name="20% - Accent1 2" xfId="117" xr:uid="{00000000-0005-0000-0000-00005E000000}"/>
    <cellStyle name="20% - Accent1 2 2" xfId="118" xr:uid="{00000000-0005-0000-0000-00005F000000}"/>
    <cellStyle name="20% - Accent1 3" xfId="119" xr:uid="{00000000-0005-0000-0000-000060000000}"/>
    <cellStyle name="20% - Accent1 3 2" xfId="120" xr:uid="{00000000-0005-0000-0000-000061000000}"/>
    <cellStyle name="20% - Accent1 4" xfId="121" xr:uid="{00000000-0005-0000-0000-000062000000}"/>
    <cellStyle name="20% - Accent1 4 2" xfId="122" xr:uid="{00000000-0005-0000-0000-000063000000}"/>
    <cellStyle name="20% - Accent1 5" xfId="123" xr:uid="{00000000-0005-0000-0000-000064000000}"/>
    <cellStyle name="20% - Accent1 5 2" xfId="124" xr:uid="{00000000-0005-0000-0000-000065000000}"/>
    <cellStyle name="20% - Accent1 6" xfId="125" xr:uid="{00000000-0005-0000-0000-000066000000}"/>
    <cellStyle name="20% - Accent1 6 2" xfId="126" xr:uid="{00000000-0005-0000-0000-000067000000}"/>
    <cellStyle name="20% - Accent1 7" xfId="127" xr:uid="{00000000-0005-0000-0000-000068000000}"/>
    <cellStyle name="20% - Accent1 7 2" xfId="128" xr:uid="{00000000-0005-0000-0000-000069000000}"/>
    <cellStyle name="20% - Accent1 8" xfId="129" xr:uid="{00000000-0005-0000-0000-00006A000000}"/>
    <cellStyle name="20% - Accent1 8 2" xfId="130" xr:uid="{00000000-0005-0000-0000-00006B000000}"/>
    <cellStyle name="20% - Accent1 9" xfId="131" xr:uid="{00000000-0005-0000-0000-00006C000000}"/>
    <cellStyle name="20% - Accent1 9 2" xfId="132" xr:uid="{00000000-0005-0000-0000-00006D000000}"/>
    <cellStyle name="20% - Accent2" xfId="32" builtinId="34" customBuiltin="1"/>
    <cellStyle name="20% - Accent2 10" xfId="133" xr:uid="{00000000-0005-0000-0000-00006F000000}"/>
    <cellStyle name="20% - Accent2 2" xfId="134" xr:uid="{00000000-0005-0000-0000-000070000000}"/>
    <cellStyle name="20% - Accent2 2 2" xfId="135" xr:uid="{00000000-0005-0000-0000-000071000000}"/>
    <cellStyle name="20% - Accent2 3" xfId="136" xr:uid="{00000000-0005-0000-0000-000072000000}"/>
    <cellStyle name="20% - Accent2 3 2" xfId="137" xr:uid="{00000000-0005-0000-0000-000073000000}"/>
    <cellStyle name="20% - Accent2 4" xfId="138" xr:uid="{00000000-0005-0000-0000-000074000000}"/>
    <cellStyle name="20% - Accent2 4 2" xfId="139" xr:uid="{00000000-0005-0000-0000-000075000000}"/>
    <cellStyle name="20% - Accent2 5" xfId="140" xr:uid="{00000000-0005-0000-0000-000076000000}"/>
    <cellStyle name="20% - Accent2 5 2" xfId="141" xr:uid="{00000000-0005-0000-0000-000077000000}"/>
    <cellStyle name="20% - Accent2 6" xfId="142" xr:uid="{00000000-0005-0000-0000-000078000000}"/>
    <cellStyle name="20% - Accent2 6 2" xfId="143" xr:uid="{00000000-0005-0000-0000-000079000000}"/>
    <cellStyle name="20% - Accent2 7" xfId="144" xr:uid="{00000000-0005-0000-0000-00007A000000}"/>
    <cellStyle name="20% - Accent2 7 2" xfId="145" xr:uid="{00000000-0005-0000-0000-00007B000000}"/>
    <cellStyle name="20% - Accent2 8" xfId="146" xr:uid="{00000000-0005-0000-0000-00007C000000}"/>
    <cellStyle name="20% - Accent2 8 2" xfId="147" xr:uid="{00000000-0005-0000-0000-00007D000000}"/>
    <cellStyle name="20% - Accent2 9" xfId="148" xr:uid="{00000000-0005-0000-0000-00007E000000}"/>
    <cellStyle name="20% - Accent2 9 2" xfId="149" xr:uid="{00000000-0005-0000-0000-00007F000000}"/>
    <cellStyle name="20% - Accent3" xfId="36" builtinId="38" customBuiltin="1"/>
    <cellStyle name="20% - Accent3 10" xfId="150" xr:uid="{00000000-0005-0000-0000-000081000000}"/>
    <cellStyle name="20% - Accent3 2" xfId="151" xr:uid="{00000000-0005-0000-0000-000082000000}"/>
    <cellStyle name="20% - Accent3 2 2" xfId="152" xr:uid="{00000000-0005-0000-0000-000083000000}"/>
    <cellStyle name="20% - Accent3 3" xfId="153" xr:uid="{00000000-0005-0000-0000-000084000000}"/>
    <cellStyle name="20% - Accent3 3 2" xfId="154" xr:uid="{00000000-0005-0000-0000-000085000000}"/>
    <cellStyle name="20% - Accent3 4" xfId="155" xr:uid="{00000000-0005-0000-0000-000086000000}"/>
    <cellStyle name="20% - Accent3 4 2" xfId="156" xr:uid="{00000000-0005-0000-0000-000087000000}"/>
    <cellStyle name="20% - Accent3 5" xfId="157" xr:uid="{00000000-0005-0000-0000-000088000000}"/>
    <cellStyle name="20% - Accent3 5 2" xfId="158" xr:uid="{00000000-0005-0000-0000-000089000000}"/>
    <cellStyle name="20% - Accent3 6" xfId="159" xr:uid="{00000000-0005-0000-0000-00008A000000}"/>
    <cellStyle name="20% - Accent3 6 2" xfId="160" xr:uid="{00000000-0005-0000-0000-00008B000000}"/>
    <cellStyle name="20% - Accent3 7" xfId="161" xr:uid="{00000000-0005-0000-0000-00008C000000}"/>
    <cellStyle name="20% - Accent3 7 2" xfId="162" xr:uid="{00000000-0005-0000-0000-00008D000000}"/>
    <cellStyle name="20% - Accent3 8" xfId="163" xr:uid="{00000000-0005-0000-0000-00008E000000}"/>
    <cellStyle name="20% - Accent3 8 2" xfId="164" xr:uid="{00000000-0005-0000-0000-00008F000000}"/>
    <cellStyle name="20% - Accent3 9" xfId="165" xr:uid="{00000000-0005-0000-0000-000090000000}"/>
    <cellStyle name="20% - Accent3 9 2" xfId="166" xr:uid="{00000000-0005-0000-0000-000091000000}"/>
    <cellStyle name="20% - Accent4" xfId="40" builtinId="42" customBuiltin="1"/>
    <cellStyle name="20% - Accent4 10" xfId="167" xr:uid="{00000000-0005-0000-0000-000093000000}"/>
    <cellStyle name="20% - Accent4 2" xfId="168" xr:uid="{00000000-0005-0000-0000-000094000000}"/>
    <cellStyle name="20% - Accent4 2 2" xfId="169" xr:uid="{00000000-0005-0000-0000-000095000000}"/>
    <cellStyle name="20% - Accent4 3" xfId="170" xr:uid="{00000000-0005-0000-0000-000096000000}"/>
    <cellStyle name="20% - Accent4 3 2" xfId="171" xr:uid="{00000000-0005-0000-0000-000097000000}"/>
    <cellStyle name="20% - Accent4 4" xfId="172" xr:uid="{00000000-0005-0000-0000-000098000000}"/>
    <cellStyle name="20% - Accent4 4 2" xfId="173" xr:uid="{00000000-0005-0000-0000-000099000000}"/>
    <cellStyle name="20% - Accent4 5" xfId="174" xr:uid="{00000000-0005-0000-0000-00009A000000}"/>
    <cellStyle name="20% - Accent4 5 2" xfId="175" xr:uid="{00000000-0005-0000-0000-00009B000000}"/>
    <cellStyle name="20% - Accent4 6" xfId="176" xr:uid="{00000000-0005-0000-0000-00009C000000}"/>
    <cellStyle name="20% - Accent4 6 2" xfId="177" xr:uid="{00000000-0005-0000-0000-00009D000000}"/>
    <cellStyle name="20% - Accent4 7" xfId="178" xr:uid="{00000000-0005-0000-0000-00009E000000}"/>
    <cellStyle name="20% - Accent4 7 2" xfId="179" xr:uid="{00000000-0005-0000-0000-00009F000000}"/>
    <cellStyle name="20% - Accent4 8" xfId="180" xr:uid="{00000000-0005-0000-0000-0000A0000000}"/>
    <cellStyle name="20% - Accent4 8 2" xfId="181" xr:uid="{00000000-0005-0000-0000-0000A1000000}"/>
    <cellStyle name="20% - Accent4 9" xfId="182" xr:uid="{00000000-0005-0000-0000-0000A2000000}"/>
    <cellStyle name="20% - Accent4 9 2" xfId="183" xr:uid="{00000000-0005-0000-0000-0000A3000000}"/>
    <cellStyle name="20% - Accent5" xfId="44" builtinId="46" customBuiltin="1"/>
    <cellStyle name="20% - Accent5 10" xfId="184" xr:uid="{00000000-0005-0000-0000-0000A5000000}"/>
    <cellStyle name="20% - Accent5 2" xfId="185" xr:uid="{00000000-0005-0000-0000-0000A6000000}"/>
    <cellStyle name="20% - Accent5 2 2" xfId="186" xr:uid="{00000000-0005-0000-0000-0000A7000000}"/>
    <cellStyle name="20% - Accent5 3" xfId="187" xr:uid="{00000000-0005-0000-0000-0000A8000000}"/>
    <cellStyle name="20% - Accent5 3 2" xfId="188" xr:uid="{00000000-0005-0000-0000-0000A9000000}"/>
    <cellStyle name="20% - Accent5 4" xfId="189" xr:uid="{00000000-0005-0000-0000-0000AA000000}"/>
    <cellStyle name="20% - Accent5 4 2" xfId="190" xr:uid="{00000000-0005-0000-0000-0000AB000000}"/>
    <cellStyle name="20% - Accent5 5" xfId="191" xr:uid="{00000000-0005-0000-0000-0000AC000000}"/>
    <cellStyle name="20% - Accent5 5 2" xfId="192" xr:uid="{00000000-0005-0000-0000-0000AD000000}"/>
    <cellStyle name="20% - Accent5 6" xfId="193" xr:uid="{00000000-0005-0000-0000-0000AE000000}"/>
    <cellStyle name="20% - Accent5 6 2" xfId="194" xr:uid="{00000000-0005-0000-0000-0000AF000000}"/>
    <cellStyle name="20% - Accent5 7" xfId="195" xr:uid="{00000000-0005-0000-0000-0000B0000000}"/>
    <cellStyle name="20% - Accent5 7 2" xfId="196" xr:uid="{00000000-0005-0000-0000-0000B1000000}"/>
    <cellStyle name="20% - Accent5 8" xfId="197" xr:uid="{00000000-0005-0000-0000-0000B2000000}"/>
    <cellStyle name="20% - Accent5 8 2" xfId="198" xr:uid="{00000000-0005-0000-0000-0000B3000000}"/>
    <cellStyle name="20% - Accent5 9" xfId="199" xr:uid="{00000000-0005-0000-0000-0000B4000000}"/>
    <cellStyle name="20% - Accent5 9 2" xfId="200" xr:uid="{00000000-0005-0000-0000-0000B5000000}"/>
    <cellStyle name="20% - Accent6" xfId="48" builtinId="50" customBuiltin="1"/>
    <cellStyle name="20% - Accent6 10" xfId="201" xr:uid="{00000000-0005-0000-0000-0000B7000000}"/>
    <cellStyle name="20% - Accent6 2" xfId="202" xr:uid="{00000000-0005-0000-0000-0000B8000000}"/>
    <cellStyle name="20% - Accent6 2 2" xfId="203" xr:uid="{00000000-0005-0000-0000-0000B9000000}"/>
    <cellStyle name="20% - Accent6 3" xfId="204" xr:uid="{00000000-0005-0000-0000-0000BA000000}"/>
    <cellStyle name="20% - Accent6 3 2" xfId="205" xr:uid="{00000000-0005-0000-0000-0000BB000000}"/>
    <cellStyle name="20% - Accent6 4" xfId="206" xr:uid="{00000000-0005-0000-0000-0000BC000000}"/>
    <cellStyle name="20% - Accent6 4 2" xfId="207" xr:uid="{00000000-0005-0000-0000-0000BD000000}"/>
    <cellStyle name="20% - Accent6 5" xfId="208" xr:uid="{00000000-0005-0000-0000-0000BE000000}"/>
    <cellStyle name="20% - Accent6 5 2" xfId="209" xr:uid="{00000000-0005-0000-0000-0000BF000000}"/>
    <cellStyle name="20% - Accent6 6" xfId="210" xr:uid="{00000000-0005-0000-0000-0000C0000000}"/>
    <cellStyle name="20% - Accent6 6 2" xfId="211" xr:uid="{00000000-0005-0000-0000-0000C1000000}"/>
    <cellStyle name="20% - Accent6 7" xfId="212" xr:uid="{00000000-0005-0000-0000-0000C2000000}"/>
    <cellStyle name="20% - Accent6 7 2" xfId="213" xr:uid="{00000000-0005-0000-0000-0000C3000000}"/>
    <cellStyle name="20% - Accent6 8" xfId="214" xr:uid="{00000000-0005-0000-0000-0000C4000000}"/>
    <cellStyle name="20% - Accent6 8 2" xfId="215" xr:uid="{00000000-0005-0000-0000-0000C5000000}"/>
    <cellStyle name="20% - Accent6 9" xfId="216" xr:uid="{00000000-0005-0000-0000-0000C6000000}"/>
    <cellStyle name="20% - Accent6 9 2" xfId="217" xr:uid="{00000000-0005-0000-0000-0000C7000000}"/>
    <cellStyle name="20% - Акцент1" xfId="2357" xr:uid="{00000000-0005-0000-0000-0000C8000000}"/>
    <cellStyle name="20% - Акцент2" xfId="2358" xr:uid="{00000000-0005-0000-0000-0000C9000000}"/>
    <cellStyle name="20% - Акцент3" xfId="2359" xr:uid="{00000000-0005-0000-0000-0000CA000000}"/>
    <cellStyle name="20% - Акцент4" xfId="2360" xr:uid="{00000000-0005-0000-0000-0000CB000000}"/>
    <cellStyle name="20% - Акцент5" xfId="2361" xr:uid="{00000000-0005-0000-0000-0000CC000000}"/>
    <cellStyle name="20% - Акцент6" xfId="2362" xr:uid="{00000000-0005-0000-0000-0000CD000000}"/>
    <cellStyle name="2mitP" xfId="218" xr:uid="{00000000-0005-0000-0000-0000CE000000}"/>
    <cellStyle name="2ohneP" xfId="219" xr:uid="{00000000-0005-0000-0000-0000CF000000}"/>
    <cellStyle name="3 indents" xfId="220" xr:uid="{00000000-0005-0000-0000-0000D0000000}"/>
    <cellStyle name="3 indents 2" xfId="221" xr:uid="{00000000-0005-0000-0000-0000D1000000}"/>
    <cellStyle name="3 indents 3" xfId="2111" xr:uid="{00000000-0005-0000-0000-0000D2000000}"/>
    <cellStyle name="3mitP" xfId="222" xr:uid="{00000000-0005-0000-0000-0000D3000000}"/>
    <cellStyle name="3mitP 2" xfId="223" xr:uid="{00000000-0005-0000-0000-0000D4000000}"/>
    <cellStyle name="3ohneP" xfId="224" xr:uid="{00000000-0005-0000-0000-0000D5000000}"/>
    <cellStyle name="3ohneP 2" xfId="225" xr:uid="{00000000-0005-0000-0000-0000D6000000}"/>
    <cellStyle name="4 indents" xfId="226" xr:uid="{00000000-0005-0000-0000-0000D7000000}"/>
    <cellStyle name="4 indents 2" xfId="227" xr:uid="{00000000-0005-0000-0000-0000D8000000}"/>
    <cellStyle name="4 indents 3" xfId="2363" xr:uid="{00000000-0005-0000-0000-0000D9000000}"/>
    <cellStyle name="4 indents 4" xfId="2112" xr:uid="{00000000-0005-0000-0000-0000DA000000}"/>
    <cellStyle name="40% - Accent1" xfId="29" builtinId="31" customBuiltin="1"/>
    <cellStyle name="40% - Accent1 10" xfId="228" xr:uid="{00000000-0005-0000-0000-0000DC000000}"/>
    <cellStyle name="40% - Accent1 2" xfId="229" xr:uid="{00000000-0005-0000-0000-0000DD000000}"/>
    <cellStyle name="40% - Accent1 2 2" xfId="230" xr:uid="{00000000-0005-0000-0000-0000DE000000}"/>
    <cellStyle name="40% - Accent1 3" xfId="231" xr:uid="{00000000-0005-0000-0000-0000DF000000}"/>
    <cellStyle name="40% - Accent1 3 2" xfId="232" xr:uid="{00000000-0005-0000-0000-0000E0000000}"/>
    <cellStyle name="40% - Accent1 4" xfId="233" xr:uid="{00000000-0005-0000-0000-0000E1000000}"/>
    <cellStyle name="40% - Accent1 4 2" xfId="234" xr:uid="{00000000-0005-0000-0000-0000E2000000}"/>
    <cellStyle name="40% - Accent1 5" xfId="235" xr:uid="{00000000-0005-0000-0000-0000E3000000}"/>
    <cellStyle name="40% - Accent1 5 2" xfId="236" xr:uid="{00000000-0005-0000-0000-0000E4000000}"/>
    <cellStyle name="40% - Accent1 6" xfId="237" xr:uid="{00000000-0005-0000-0000-0000E5000000}"/>
    <cellStyle name="40% - Accent1 6 2" xfId="238" xr:uid="{00000000-0005-0000-0000-0000E6000000}"/>
    <cellStyle name="40% - Accent1 7" xfId="239" xr:uid="{00000000-0005-0000-0000-0000E7000000}"/>
    <cellStyle name="40% - Accent1 7 2" xfId="240" xr:uid="{00000000-0005-0000-0000-0000E8000000}"/>
    <cellStyle name="40% - Accent1 8" xfId="241" xr:uid="{00000000-0005-0000-0000-0000E9000000}"/>
    <cellStyle name="40% - Accent1 8 2" xfId="242" xr:uid="{00000000-0005-0000-0000-0000EA000000}"/>
    <cellStyle name="40% - Accent1 9" xfId="243" xr:uid="{00000000-0005-0000-0000-0000EB000000}"/>
    <cellStyle name="40% - Accent1 9 2" xfId="244" xr:uid="{00000000-0005-0000-0000-0000EC000000}"/>
    <cellStyle name="40% - Accent2" xfId="33" builtinId="35" customBuiltin="1"/>
    <cellStyle name="40% - Accent2 10" xfId="245" xr:uid="{00000000-0005-0000-0000-0000EE000000}"/>
    <cellStyle name="40% - Accent2 2" xfId="246" xr:uid="{00000000-0005-0000-0000-0000EF000000}"/>
    <cellStyle name="40% - Accent2 2 2" xfId="247" xr:uid="{00000000-0005-0000-0000-0000F0000000}"/>
    <cellStyle name="40% - Accent2 3" xfId="248" xr:uid="{00000000-0005-0000-0000-0000F1000000}"/>
    <cellStyle name="40% - Accent2 3 2" xfId="249" xr:uid="{00000000-0005-0000-0000-0000F2000000}"/>
    <cellStyle name="40% - Accent2 4" xfId="250" xr:uid="{00000000-0005-0000-0000-0000F3000000}"/>
    <cellStyle name="40% - Accent2 4 2" xfId="251" xr:uid="{00000000-0005-0000-0000-0000F4000000}"/>
    <cellStyle name="40% - Accent2 5" xfId="252" xr:uid="{00000000-0005-0000-0000-0000F5000000}"/>
    <cellStyle name="40% - Accent2 5 2" xfId="253" xr:uid="{00000000-0005-0000-0000-0000F6000000}"/>
    <cellStyle name="40% - Accent2 6" xfId="254" xr:uid="{00000000-0005-0000-0000-0000F7000000}"/>
    <cellStyle name="40% - Accent2 6 2" xfId="255" xr:uid="{00000000-0005-0000-0000-0000F8000000}"/>
    <cellStyle name="40% - Accent2 7" xfId="256" xr:uid="{00000000-0005-0000-0000-0000F9000000}"/>
    <cellStyle name="40% - Accent2 7 2" xfId="257" xr:uid="{00000000-0005-0000-0000-0000FA000000}"/>
    <cellStyle name="40% - Accent2 8" xfId="258" xr:uid="{00000000-0005-0000-0000-0000FB000000}"/>
    <cellStyle name="40% - Accent2 8 2" xfId="259" xr:uid="{00000000-0005-0000-0000-0000FC000000}"/>
    <cellStyle name="40% - Accent2 9" xfId="260" xr:uid="{00000000-0005-0000-0000-0000FD000000}"/>
    <cellStyle name="40% - Accent2 9 2" xfId="261" xr:uid="{00000000-0005-0000-0000-0000FE000000}"/>
    <cellStyle name="40% - Accent3" xfId="37" builtinId="39" customBuiltin="1"/>
    <cellStyle name="40% - Accent3 10" xfId="262" xr:uid="{00000000-0005-0000-0000-000000010000}"/>
    <cellStyle name="40% - Accent3 2" xfId="263" xr:uid="{00000000-0005-0000-0000-000001010000}"/>
    <cellStyle name="40% - Accent3 2 2" xfId="264" xr:uid="{00000000-0005-0000-0000-000002010000}"/>
    <cellStyle name="40% - Accent3 3" xfId="265" xr:uid="{00000000-0005-0000-0000-000003010000}"/>
    <cellStyle name="40% - Accent3 3 2" xfId="266" xr:uid="{00000000-0005-0000-0000-000004010000}"/>
    <cellStyle name="40% - Accent3 4" xfId="267" xr:uid="{00000000-0005-0000-0000-000005010000}"/>
    <cellStyle name="40% - Accent3 4 2" xfId="268" xr:uid="{00000000-0005-0000-0000-000006010000}"/>
    <cellStyle name="40% - Accent3 5" xfId="269" xr:uid="{00000000-0005-0000-0000-000007010000}"/>
    <cellStyle name="40% - Accent3 5 2" xfId="270" xr:uid="{00000000-0005-0000-0000-000008010000}"/>
    <cellStyle name="40% - Accent3 6" xfId="271" xr:uid="{00000000-0005-0000-0000-000009010000}"/>
    <cellStyle name="40% - Accent3 6 2" xfId="272" xr:uid="{00000000-0005-0000-0000-00000A010000}"/>
    <cellStyle name="40% - Accent3 7" xfId="273" xr:uid="{00000000-0005-0000-0000-00000B010000}"/>
    <cellStyle name="40% - Accent3 7 2" xfId="274" xr:uid="{00000000-0005-0000-0000-00000C010000}"/>
    <cellStyle name="40% - Accent3 8" xfId="275" xr:uid="{00000000-0005-0000-0000-00000D010000}"/>
    <cellStyle name="40% - Accent3 8 2" xfId="276" xr:uid="{00000000-0005-0000-0000-00000E010000}"/>
    <cellStyle name="40% - Accent3 9" xfId="277" xr:uid="{00000000-0005-0000-0000-00000F010000}"/>
    <cellStyle name="40% - Accent3 9 2" xfId="278" xr:uid="{00000000-0005-0000-0000-000010010000}"/>
    <cellStyle name="40% - Accent4" xfId="41" builtinId="43" customBuiltin="1"/>
    <cellStyle name="40% - Accent4 10" xfId="279" xr:uid="{00000000-0005-0000-0000-000012010000}"/>
    <cellStyle name="40% - Accent4 2" xfId="280" xr:uid="{00000000-0005-0000-0000-000013010000}"/>
    <cellStyle name="40% - Accent4 2 2" xfId="281" xr:uid="{00000000-0005-0000-0000-000014010000}"/>
    <cellStyle name="40% - Accent4 3" xfId="282" xr:uid="{00000000-0005-0000-0000-000015010000}"/>
    <cellStyle name="40% - Accent4 3 2" xfId="283" xr:uid="{00000000-0005-0000-0000-000016010000}"/>
    <cellStyle name="40% - Accent4 4" xfId="284" xr:uid="{00000000-0005-0000-0000-000017010000}"/>
    <cellStyle name="40% - Accent4 4 2" xfId="285" xr:uid="{00000000-0005-0000-0000-000018010000}"/>
    <cellStyle name="40% - Accent4 5" xfId="286" xr:uid="{00000000-0005-0000-0000-000019010000}"/>
    <cellStyle name="40% - Accent4 5 2" xfId="287" xr:uid="{00000000-0005-0000-0000-00001A010000}"/>
    <cellStyle name="40% - Accent4 6" xfId="288" xr:uid="{00000000-0005-0000-0000-00001B010000}"/>
    <cellStyle name="40% - Accent4 6 2" xfId="289" xr:uid="{00000000-0005-0000-0000-00001C010000}"/>
    <cellStyle name="40% - Accent4 7" xfId="290" xr:uid="{00000000-0005-0000-0000-00001D010000}"/>
    <cellStyle name="40% - Accent4 7 2" xfId="291" xr:uid="{00000000-0005-0000-0000-00001E010000}"/>
    <cellStyle name="40% - Accent4 8" xfId="292" xr:uid="{00000000-0005-0000-0000-00001F010000}"/>
    <cellStyle name="40% - Accent4 8 2" xfId="293" xr:uid="{00000000-0005-0000-0000-000020010000}"/>
    <cellStyle name="40% - Accent4 9" xfId="294" xr:uid="{00000000-0005-0000-0000-000021010000}"/>
    <cellStyle name="40% - Accent4 9 2" xfId="295" xr:uid="{00000000-0005-0000-0000-000022010000}"/>
    <cellStyle name="40% - Accent5" xfId="45" builtinId="47" customBuiltin="1"/>
    <cellStyle name="40% - Accent5 10" xfId="296" xr:uid="{00000000-0005-0000-0000-000024010000}"/>
    <cellStyle name="40% - Accent5 2" xfId="297" xr:uid="{00000000-0005-0000-0000-000025010000}"/>
    <cellStyle name="40% - Accent5 2 2" xfId="298" xr:uid="{00000000-0005-0000-0000-000026010000}"/>
    <cellStyle name="40% - Accent5 3" xfId="299" xr:uid="{00000000-0005-0000-0000-000027010000}"/>
    <cellStyle name="40% - Accent5 3 2" xfId="300" xr:uid="{00000000-0005-0000-0000-000028010000}"/>
    <cellStyle name="40% - Accent5 4" xfId="301" xr:uid="{00000000-0005-0000-0000-000029010000}"/>
    <cellStyle name="40% - Accent5 4 2" xfId="302" xr:uid="{00000000-0005-0000-0000-00002A010000}"/>
    <cellStyle name="40% - Accent5 5" xfId="303" xr:uid="{00000000-0005-0000-0000-00002B010000}"/>
    <cellStyle name="40% - Accent5 5 2" xfId="304" xr:uid="{00000000-0005-0000-0000-00002C010000}"/>
    <cellStyle name="40% - Accent5 6" xfId="305" xr:uid="{00000000-0005-0000-0000-00002D010000}"/>
    <cellStyle name="40% - Accent5 6 2" xfId="306" xr:uid="{00000000-0005-0000-0000-00002E010000}"/>
    <cellStyle name="40% - Accent5 7" xfId="307" xr:uid="{00000000-0005-0000-0000-00002F010000}"/>
    <cellStyle name="40% - Accent5 7 2" xfId="308" xr:uid="{00000000-0005-0000-0000-000030010000}"/>
    <cellStyle name="40% - Accent5 8" xfId="309" xr:uid="{00000000-0005-0000-0000-000031010000}"/>
    <cellStyle name="40% - Accent5 8 2" xfId="310" xr:uid="{00000000-0005-0000-0000-000032010000}"/>
    <cellStyle name="40% - Accent5 9" xfId="311" xr:uid="{00000000-0005-0000-0000-000033010000}"/>
    <cellStyle name="40% - Accent5 9 2" xfId="312" xr:uid="{00000000-0005-0000-0000-000034010000}"/>
    <cellStyle name="40% - Accent6" xfId="49" builtinId="51" customBuiltin="1"/>
    <cellStyle name="40% - Accent6 10" xfId="313" xr:uid="{00000000-0005-0000-0000-000036010000}"/>
    <cellStyle name="40% - Accent6 2" xfId="314" xr:uid="{00000000-0005-0000-0000-000037010000}"/>
    <cellStyle name="40% - Accent6 2 2" xfId="315" xr:uid="{00000000-0005-0000-0000-000038010000}"/>
    <cellStyle name="40% - Accent6 3" xfId="316" xr:uid="{00000000-0005-0000-0000-000039010000}"/>
    <cellStyle name="40% - Accent6 3 2" xfId="317" xr:uid="{00000000-0005-0000-0000-00003A010000}"/>
    <cellStyle name="40% - Accent6 4" xfId="318" xr:uid="{00000000-0005-0000-0000-00003B010000}"/>
    <cellStyle name="40% - Accent6 4 2" xfId="319" xr:uid="{00000000-0005-0000-0000-00003C010000}"/>
    <cellStyle name="40% - Accent6 5" xfId="320" xr:uid="{00000000-0005-0000-0000-00003D010000}"/>
    <cellStyle name="40% - Accent6 5 2" xfId="321" xr:uid="{00000000-0005-0000-0000-00003E010000}"/>
    <cellStyle name="40% - Accent6 6" xfId="322" xr:uid="{00000000-0005-0000-0000-00003F010000}"/>
    <cellStyle name="40% - Accent6 6 2" xfId="323" xr:uid="{00000000-0005-0000-0000-000040010000}"/>
    <cellStyle name="40% - Accent6 7" xfId="324" xr:uid="{00000000-0005-0000-0000-000041010000}"/>
    <cellStyle name="40% - Accent6 7 2" xfId="325" xr:uid="{00000000-0005-0000-0000-000042010000}"/>
    <cellStyle name="40% - Accent6 8" xfId="326" xr:uid="{00000000-0005-0000-0000-000043010000}"/>
    <cellStyle name="40% - Accent6 8 2" xfId="327" xr:uid="{00000000-0005-0000-0000-000044010000}"/>
    <cellStyle name="40% - Accent6 9" xfId="328" xr:uid="{00000000-0005-0000-0000-000045010000}"/>
    <cellStyle name="40% - Accent6 9 2" xfId="329" xr:uid="{00000000-0005-0000-0000-000046010000}"/>
    <cellStyle name="40% - Акцент1" xfId="2364" xr:uid="{00000000-0005-0000-0000-000047010000}"/>
    <cellStyle name="40% - Акцент2" xfId="2365" xr:uid="{00000000-0005-0000-0000-000048010000}"/>
    <cellStyle name="40% - Акцент3" xfId="2366" xr:uid="{00000000-0005-0000-0000-000049010000}"/>
    <cellStyle name="40% - Акцент4" xfId="2367" xr:uid="{00000000-0005-0000-0000-00004A010000}"/>
    <cellStyle name="40% - Акцент5" xfId="2368" xr:uid="{00000000-0005-0000-0000-00004B010000}"/>
    <cellStyle name="40% - Акцент6" xfId="2369" xr:uid="{00000000-0005-0000-0000-00004C010000}"/>
    <cellStyle name="4mitP" xfId="330" xr:uid="{00000000-0005-0000-0000-00004D010000}"/>
    <cellStyle name="4mitP 2" xfId="331" xr:uid="{00000000-0005-0000-0000-00004E010000}"/>
    <cellStyle name="4ohneP" xfId="332" xr:uid="{00000000-0005-0000-0000-00004F010000}"/>
    <cellStyle name="5 indents" xfId="333" xr:uid="{00000000-0005-0000-0000-000050010000}"/>
    <cellStyle name="5 indents 2" xfId="334" xr:uid="{00000000-0005-0000-0000-000051010000}"/>
    <cellStyle name="60% - Accent1" xfId="30" builtinId="32" customBuiltin="1"/>
    <cellStyle name="60% - Accent1 10" xfId="335" xr:uid="{00000000-0005-0000-0000-000053010000}"/>
    <cellStyle name="60% - Accent1 2" xfId="336" xr:uid="{00000000-0005-0000-0000-000054010000}"/>
    <cellStyle name="60% - Accent1 2 2" xfId="337" xr:uid="{00000000-0005-0000-0000-000055010000}"/>
    <cellStyle name="60% - Accent1 3" xfId="338" xr:uid="{00000000-0005-0000-0000-000056010000}"/>
    <cellStyle name="60% - Accent1 3 2" xfId="339" xr:uid="{00000000-0005-0000-0000-000057010000}"/>
    <cellStyle name="60% - Accent1 4" xfId="340" xr:uid="{00000000-0005-0000-0000-000058010000}"/>
    <cellStyle name="60% - Accent1 4 2" xfId="341" xr:uid="{00000000-0005-0000-0000-000059010000}"/>
    <cellStyle name="60% - Accent1 5" xfId="342" xr:uid="{00000000-0005-0000-0000-00005A010000}"/>
    <cellStyle name="60% - Accent1 5 2" xfId="343" xr:uid="{00000000-0005-0000-0000-00005B010000}"/>
    <cellStyle name="60% - Accent1 6" xfId="344" xr:uid="{00000000-0005-0000-0000-00005C010000}"/>
    <cellStyle name="60% - Accent1 6 2" xfId="345" xr:uid="{00000000-0005-0000-0000-00005D010000}"/>
    <cellStyle name="60% - Accent1 7" xfId="346" xr:uid="{00000000-0005-0000-0000-00005E010000}"/>
    <cellStyle name="60% - Accent1 7 2" xfId="347" xr:uid="{00000000-0005-0000-0000-00005F010000}"/>
    <cellStyle name="60% - Accent1 8" xfId="348" xr:uid="{00000000-0005-0000-0000-000060010000}"/>
    <cellStyle name="60% - Accent1 8 2" xfId="349" xr:uid="{00000000-0005-0000-0000-000061010000}"/>
    <cellStyle name="60% - Accent1 9" xfId="350" xr:uid="{00000000-0005-0000-0000-000062010000}"/>
    <cellStyle name="60% - Accent1 9 2" xfId="351" xr:uid="{00000000-0005-0000-0000-000063010000}"/>
    <cellStyle name="60% - Accent2" xfId="34" builtinId="36" customBuiltin="1"/>
    <cellStyle name="60% - Accent2 10" xfId="352" xr:uid="{00000000-0005-0000-0000-000065010000}"/>
    <cellStyle name="60% - Accent2 2" xfId="353" xr:uid="{00000000-0005-0000-0000-000066010000}"/>
    <cellStyle name="60% - Accent2 2 2" xfId="354" xr:uid="{00000000-0005-0000-0000-000067010000}"/>
    <cellStyle name="60% - Accent2 3" xfId="355" xr:uid="{00000000-0005-0000-0000-000068010000}"/>
    <cellStyle name="60% - Accent2 3 2" xfId="356" xr:uid="{00000000-0005-0000-0000-000069010000}"/>
    <cellStyle name="60% - Accent2 4" xfId="357" xr:uid="{00000000-0005-0000-0000-00006A010000}"/>
    <cellStyle name="60% - Accent2 4 2" xfId="358" xr:uid="{00000000-0005-0000-0000-00006B010000}"/>
    <cellStyle name="60% - Accent2 5" xfId="359" xr:uid="{00000000-0005-0000-0000-00006C010000}"/>
    <cellStyle name="60% - Accent2 5 2" xfId="360" xr:uid="{00000000-0005-0000-0000-00006D010000}"/>
    <cellStyle name="60% - Accent2 6" xfId="361" xr:uid="{00000000-0005-0000-0000-00006E010000}"/>
    <cellStyle name="60% - Accent2 6 2" xfId="362" xr:uid="{00000000-0005-0000-0000-00006F010000}"/>
    <cellStyle name="60% - Accent2 7" xfId="363" xr:uid="{00000000-0005-0000-0000-000070010000}"/>
    <cellStyle name="60% - Accent2 7 2" xfId="364" xr:uid="{00000000-0005-0000-0000-000071010000}"/>
    <cellStyle name="60% - Accent2 8" xfId="365" xr:uid="{00000000-0005-0000-0000-000072010000}"/>
    <cellStyle name="60% - Accent2 8 2" xfId="366" xr:uid="{00000000-0005-0000-0000-000073010000}"/>
    <cellStyle name="60% - Accent2 9" xfId="367" xr:uid="{00000000-0005-0000-0000-000074010000}"/>
    <cellStyle name="60% - Accent2 9 2" xfId="368" xr:uid="{00000000-0005-0000-0000-000075010000}"/>
    <cellStyle name="60% - Accent3" xfId="38" builtinId="40" customBuiltin="1"/>
    <cellStyle name="60% - Accent3 10" xfId="369" xr:uid="{00000000-0005-0000-0000-000077010000}"/>
    <cellStyle name="60% - Accent3 2" xfId="370" xr:uid="{00000000-0005-0000-0000-000078010000}"/>
    <cellStyle name="60% - Accent3 2 2" xfId="371" xr:uid="{00000000-0005-0000-0000-000079010000}"/>
    <cellStyle name="60% - Accent3 3" xfId="372" xr:uid="{00000000-0005-0000-0000-00007A010000}"/>
    <cellStyle name="60% - Accent3 3 2" xfId="373" xr:uid="{00000000-0005-0000-0000-00007B010000}"/>
    <cellStyle name="60% - Accent3 4" xfId="374" xr:uid="{00000000-0005-0000-0000-00007C010000}"/>
    <cellStyle name="60% - Accent3 4 2" xfId="375" xr:uid="{00000000-0005-0000-0000-00007D010000}"/>
    <cellStyle name="60% - Accent3 5" xfId="376" xr:uid="{00000000-0005-0000-0000-00007E010000}"/>
    <cellStyle name="60% - Accent3 5 2" xfId="377" xr:uid="{00000000-0005-0000-0000-00007F010000}"/>
    <cellStyle name="60% - Accent3 6" xfId="378" xr:uid="{00000000-0005-0000-0000-000080010000}"/>
    <cellStyle name="60% - Accent3 6 2" xfId="379" xr:uid="{00000000-0005-0000-0000-000081010000}"/>
    <cellStyle name="60% - Accent3 7" xfId="380" xr:uid="{00000000-0005-0000-0000-000082010000}"/>
    <cellStyle name="60% - Accent3 7 2" xfId="381" xr:uid="{00000000-0005-0000-0000-000083010000}"/>
    <cellStyle name="60% - Accent3 8" xfId="382" xr:uid="{00000000-0005-0000-0000-000084010000}"/>
    <cellStyle name="60% - Accent3 8 2" xfId="383" xr:uid="{00000000-0005-0000-0000-000085010000}"/>
    <cellStyle name="60% - Accent3 9" xfId="384" xr:uid="{00000000-0005-0000-0000-000086010000}"/>
    <cellStyle name="60% - Accent3 9 2" xfId="385" xr:uid="{00000000-0005-0000-0000-000087010000}"/>
    <cellStyle name="60% - Accent4" xfId="42" builtinId="44" customBuiltin="1"/>
    <cellStyle name="60% - Accent4 10" xfId="386" xr:uid="{00000000-0005-0000-0000-000089010000}"/>
    <cellStyle name="60% - Accent4 2" xfId="387" xr:uid="{00000000-0005-0000-0000-00008A010000}"/>
    <cellStyle name="60% - Accent4 2 2" xfId="388" xr:uid="{00000000-0005-0000-0000-00008B010000}"/>
    <cellStyle name="60% - Accent4 3" xfId="389" xr:uid="{00000000-0005-0000-0000-00008C010000}"/>
    <cellStyle name="60% - Accent4 3 2" xfId="390" xr:uid="{00000000-0005-0000-0000-00008D010000}"/>
    <cellStyle name="60% - Accent4 4" xfId="391" xr:uid="{00000000-0005-0000-0000-00008E010000}"/>
    <cellStyle name="60% - Accent4 4 2" xfId="392" xr:uid="{00000000-0005-0000-0000-00008F010000}"/>
    <cellStyle name="60% - Accent4 5" xfId="393" xr:uid="{00000000-0005-0000-0000-000090010000}"/>
    <cellStyle name="60% - Accent4 5 2" xfId="394" xr:uid="{00000000-0005-0000-0000-000091010000}"/>
    <cellStyle name="60% - Accent4 6" xfId="395" xr:uid="{00000000-0005-0000-0000-000092010000}"/>
    <cellStyle name="60% - Accent4 6 2" xfId="396" xr:uid="{00000000-0005-0000-0000-000093010000}"/>
    <cellStyle name="60% - Accent4 7" xfId="397" xr:uid="{00000000-0005-0000-0000-000094010000}"/>
    <cellStyle name="60% - Accent4 7 2" xfId="398" xr:uid="{00000000-0005-0000-0000-000095010000}"/>
    <cellStyle name="60% - Accent4 8" xfId="399" xr:uid="{00000000-0005-0000-0000-000096010000}"/>
    <cellStyle name="60% - Accent4 8 2" xfId="400" xr:uid="{00000000-0005-0000-0000-000097010000}"/>
    <cellStyle name="60% - Accent4 9" xfId="401" xr:uid="{00000000-0005-0000-0000-000098010000}"/>
    <cellStyle name="60% - Accent4 9 2" xfId="402" xr:uid="{00000000-0005-0000-0000-000099010000}"/>
    <cellStyle name="60% - Accent5" xfId="46" builtinId="48" customBuiltin="1"/>
    <cellStyle name="60% - Accent5 10" xfId="403" xr:uid="{00000000-0005-0000-0000-00009B010000}"/>
    <cellStyle name="60% - Accent5 2" xfId="404" xr:uid="{00000000-0005-0000-0000-00009C010000}"/>
    <cellStyle name="60% - Accent5 2 2" xfId="405" xr:uid="{00000000-0005-0000-0000-00009D010000}"/>
    <cellStyle name="60% - Accent5 3" xfId="406" xr:uid="{00000000-0005-0000-0000-00009E010000}"/>
    <cellStyle name="60% - Accent5 3 2" xfId="407" xr:uid="{00000000-0005-0000-0000-00009F010000}"/>
    <cellStyle name="60% - Accent5 4" xfId="408" xr:uid="{00000000-0005-0000-0000-0000A0010000}"/>
    <cellStyle name="60% - Accent5 4 2" xfId="409" xr:uid="{00000000-0005-0000-0000-0000A1010000}"/>
    <cellStyle name="60% - Accent5 5" xfId="410" xr:uid="{00000000-0005-0000-0000-0000A2010000}"/>
    <cellStyle name="60% - Accent5 5 2" xfId="411" xr:uid="{00000000-0005-0000-0000-0000A3010000}"/>
    <cellStyle name="60% - Accent5 6" xfId="412" xr:uid="{00000000-0005-0000-0000-0000A4010000}"/>
    <cellStyle name="60% - Accent5 6 2" xfId="413" xr:uid="{00000000-0005-0000-0000-0000A5010000}"/>
    <cellStyle name="60% - Accent5 7" xfId="414" xr:uid="{00000000-0005-0000-0000-0000A6010000}"/>
    <cellStyle name="60% - Accent5 7 2" xfId="415" xr:uid="{00000000-0005-0000-0000-0000A7010000}"/>
    <cellStyle name="60% - Accent5 8" xfId="416" xr:uid="{00000000-0005-0000-0000-0000A8010000}"/>
    <cellStyle name="60% - Accent5 8 2" xfId="417" xr:uid="{00000000-0005-0000-0000-0000A9010000}"/>
    <cellStyle name="60% - Accent5 9" xfId="418" xr:uid="{00000000-0005-0000-0000-0000AA010000}"/>
    <cellStyle name="60% - Accent5 9 2" xfId="419" xr:uid="{00000000-0005-0000-0000-0000AB010000}"/>
    <cellStyle name="60% - Accent6" xfId="50" builtinId="52" customBuiltin="1"/>
    <cellStyle name="60% - Accent6 10" xfId="420" xr:uid="{00000000-0005-0000-0000-0000AD010000}"/>
    <cellStyle name="60% - Accent6 2" xfId="421" xr:uid="{00000000-0005-0000-0000-0000AE010000}"/>
    <cellStyle name="60% - Accent6 2 2" xfId="422" xr:uid="{00000000-0005-0000-0000-0000AF010000}"/>
    <cellStyle name="60% - Accent6 3" xfId="423" xr:uid="{00000000-0005-0000-0000-0000B0010000}"/>
    <cellStyle name="60% - Accent6 3 2" xfId="424" xr:uid="{00000000-0005-0000-0000-0000B1010000}"/>
    <cellStyle name="60% - Accent6 4" xfId="425" xr:uid="{00000000-0005-0000-0000-0000B2010000}"/>
    <cellStyle name="60% - Accent6 4 2" xfId="426" xr:uid="{00000000-0005-0000-0000-0000B3010000}"/>
    <cellStyle name="60% - Accent6 5" xfId="427" xr:uid="{00000000-0005-0000-0000-0000B4010000}"/>
    <cellStyle name="60% - Accent6 5 2" xfId="428" xr:uid="{00000000-0005-0000-0000-0000B5010000}"/>
    <cellStyle name="60% - Accent6 6" xfId="429" xr:uid="{00000000-0005-0000-0000-0000B6010000}"/>
    <cellStyle name="60% - Accent6 6 2" xfId="430" xr:uid="{00000000-0005-0000-0000-0000B7010000}"/>
    <cellStyle name="60% - Accent6 7" xfId="431" xr:uid="{00000000-0005-0000-0000-0000B8010000}"/>
    <cellStyle name="60% - Accent6 7 2" xfId="432" xr:uid="{00000000-0005-0000-0000-0000B9010000}"/>
    <cellStyle name="60% - Accent6 8" xfId="433" xr:uid="{00000000-0005-0000-0000-0000BA010000}"/>
    <cellStyle name="60% - Accent6 8 2" xfId="434" xr:uid="{00000000-0005-0000-0000-0000BB010000}"/>
    <cellStyle name="60% - Accent6 9" xfId="435" xr:uid="{00000000-0005-0000-0000-0000BC010000}"/>
    <cellStyle name="60% - Accent6 9 2" xfId="436" xr:uid="{00000000-0005-0000-0000-0000BD010000}"/>
    <cellStyle name="60% - Акцент1" xfId="2370" xr:uid="{00000000-0005-0000-0000-0000BE010000}"/>
    <cellStyle name="60% - Акцент2" xfId="2371" xr:uid="{00000000-0005-0000-0000-0000BF010000}"/>
    <cellStyle name="60% - Акцент3" xfId="2372" xr:uid="{00000000-0005-0000-0000-0000C0010000}"/>
    <cellStyle name="60% - Акцент4" xfId="2373" xr:uid="{00000000-0005-0000-0000-0000C1010000}"/>
    <cellStyle name="60% - Акцент5" xfId="2374" xr:uid="{00000000-0005-0000-0000-0000C2010000}"/>
    <cellStyle name="60% - Акцент6" xfId="2375" xr:uid="{00000000-0005-0000-0000-0000C3010000}"/>
    <cellStyle name="6mitP" xfId="437" xr:uid="{00000000-0005-0000-0000-0000C4010000}"/>
    <cellStyle name="6mitP 2" xfId="438" xr:uid="{00000000-0005-0000-0000-0000C5010000}"/>
    <cellStyle name="6ohneP" xfId="439" xr:uid="{00000000-0005-0000-0000-0000C6010000}"/>
    <cellStyle name="6ohneP 2" xfId="440" xr:uid="{00000000-0005-0000-0000-0000C7010000}"/>
    <cellStyle name="7mitP" xfId="441" xr:uid="{00000000-0005-0000-0000-0000C8010000}"/>
    <cellStyle name="7mitP 2" xfId="442" xr:uid="{00000000-0005-0000-0000-0000C9010000}"/>
    <cellStyle name="9mitP" xfId="443" xr:uid="{00000000-0005-0000-0000-0000CA010000}"/>
    <cellStyle name="9mitP 2" xfId="444" xr:uid="{00000000-0005-0000-0000-0000CB010000}"/>
    <cellStyle name="9ohneP" xfId="445" xr:uid="{00000000-0005-0000-0000-0000CC010000}"/>
    <cellStyle name="9ohneP 2" xfId="446" xr:uid="{00000000-0005-0000-0000-0000CD010000}"/>
    <cellStyle name="Accent1" xfId="27" builtinId="29" customBuiltin="1"/>
    <cellStyle name="Accent1 10" xfId="447" xr:uid="{00000000-0005-0000-0000-0000CF010000}"/>
    <cellStyle name="Accent1 2" xfId="448" xr:uid="{00000000-0005-0000-0000-0000D0010000}"/>
    <cellStyle name="Accent1 2 2" xfId="449" xr:uid="{00000000-0005-0000-0000-0000D1010000}"/>
    <cellStyle name="Accent1 3" xfId="450" xr:uid="{00000000-0005-0000-0000-0000D2010000}"/>
    <cellStyle name="Accent1 3 2" xfId="451" xr:uid="{00000000-0005-0000-0000-0000D3010000}"/>
    <cellStyle name="Accent1 4" xfId="452" xr:uid="{00000000-0005-0000-0000-0000D4010000}"/>
    <cellStyle name="Accent1 4 2" xfId="453" xr:uid="{00000000-0005-0000-0000-0000D5010000}"/>
    <cellStyle name="Accent1 5" xfId="454" xr:uid="{00000000-0005-0000-0000-0000D6010000}"/>
    <cellStyle name="Accent1 5 2" xfId="455" xr:uid="{00000000-0005-0000-0000-0000D7010000}"/>
    <cellStyle name="Accent1 6" xfId="456" xr:uid="{00000000-0005-0000-0000-0000D8010000}"/>
    <cellStyle name="Accent1 6 2" xfId="457" xr:uid="{00000000-0005-0000-0000-0000D9010000}"/>
    <cellStyle name="Accent1 7" xfId="458" xr:uid="{00000000-0005-0000-0000-0000DA010000}"/>
    <cellStyle name="Accent1 7 2" xfId="459" xr:uid="{00000000-0005-0000-0000-0000DB010000}"/>
    <cellStyle name="Accent1 8" xfId="460" xr:uid="{00000000-0005-0000-0000-0000DC010000}"/>
    <cellStyle name="Accent1 8 2" xfId="461" xr:uid="{00000000-0005-0000-0000-0000DD010000}"/>
    <cellStyle name="Accent1 9" xfId="462" xr:uid="{00000000-0005-0000-0000-0000DE010000}"/>
    <cellStyle name="Accent1 9 2" xfId="463" xr:uid="{00000000-0005-0000-0000-0000DF010000}"/>
    <cellStyle name="Accent2" xfId="31" builtinId="33" customBuiltin="1"/>
    <cellStyle name="Accent2 10" xfId="464" xr:uid="{00000000-0005-0000-0000-0000E1010000}"/>
    <cellStyle name="Accent2 2" xfId="465" xr:uid="{00000000-0005-0000-0000-0000E2010000}"/>
    <cellStyle name="Accent2 2 2" xfId="466" xr:uid="{00000000-0005-0000-0000-0000E3010000}"/>
    <cellStyle name="Accent2 3" xfId="467" xr:uid="{00000000-0005-0000-0000-0000E4010000}"/>
    <cellStyle name="Accent2 3 2" xfId="468" xr:uid="{00000000-0005-0000-0000-0000E5010000}"/>
    <cellStyle name="Accent2 4" xfId="469" xr:uid="{00000000-0005-0000-0000-0000E6010000}"/>
    <cellStyle name="Accent2 4 2" xfId="470" xr:uid="{00000000-0005-0000-0000-0000E7010000}"/>
    <cellStyle name="Accent2 5" xfId="471" xr:uid="{00000000-0005-0000-0000-0000E8010000}"/>
    <cellStyle name="Accent2 5 2" xfId="472" xr:uid="{00000000-0005-0000-0000-0000E9010000}"/>
    <cellStyle name="Accent2 6" xfId="473" xr:uid="{00000000-0005-0000-0000-0000EA010000}"/>
    <cellStyle name="Accent2 6 2" xfId="474" xr:uid="{00000000-0005-0000-0000-0000EB010000}"/>
    <cellStyle name="Accent2 7" xfId="475" xr:uid="{00000000-0005-0000-0000-0000EC010000}"/>
    <cellStyle name="Accent2 7 2" xfId="476" xr:uid="{00000000-0005-0000-0000-0000ED010000}"/>
    <cellStyle name="Accent2 8" xfId="477" xr:uid="{00000000-0005-0000-0000-0000EE010000}"/>
    <cellStyle name="Accent2 8 2" xfId="478" xr:uid="{00000000-0005-0000-0000-0000EF010000}"/>
    <cellStyle name="Accent2 9" xfId="479" xr:uid="{00000000-0005-0000-0000-0000F0010000}"/>
    <cellStyle name="Accent2 9 2" xfId="480" xr:uid="{00000000-0005-0000-0000-0000F1010000}"/>
    <cellStyle name="Accent3" xfId="35" builtinId="37" customBuiltin="1"/>
    <cellStyle name="Accent3 10" xfId="481" xr:uid="{00000000-0005-0000-0000-0000F3010000}"/>
    <cellStyle name="Accent3 2" xfId="482" xr:uid="{00000000-0005-0000-0000-0000F4010000}"/>
    <cellStyle name="Accent3 2 2" xfId="483" xr:uid="{00000000-0005-0000-0000-0000F5010000}"/>
    <cellStyle name="Accent3 3" xfId="484" xr:uid="{00000000-0005-0000-0000-0000F6010000}"/>
    <cellStyle name="Accent3 3 2" xfId="485" xr:uid="{00000000-0005-0000-0000-0000F7010000}"/>
    <cellStyle name="Accent3 4" xfId="486" xr:uid="{00000000-0005-0000-0000-0000F8010000}"/>
    <cellStyle name="Accent3 4 2" xfId="487" xr:uid="{00000000-0005-0000-0000-0000F9010000}"/>
    <cellStyle name="Accent3 5" xfId="488" xr:uid="{00000000-0005-0000-0000-0000FA010000}"/>
    <cellStyle name="Accent3 5 2" xfId="489" xr:uid="{00000000-0005-0000-0000-0000FB010000}"/>
    <cellStyle name="Accent3 6" xfId="490" xr:uid="{00000000-0005-0000-0000-0000FC010000}"/>
    <cellStyle name="Accent3 6 2" xfId="491" xr:uid="{00000000-0005-0000-0000-0000FD010000}"/>
    <cellStyle name="Accent3 7" xfId="492" xr:uid="{00000000-0005-0000-0000-0000FE010000}"/>
    <cellStyle name="Accent3 7 2" xfId="493" xr:uid="{00000000-0005-0000-0000-0000FF010000}"/>
    <cellStyle name="Accent3 8" xfId="494" xr:uid="{00000000-0005-0000-0000-000000020000}"/>
    <cellStyle name="Accent3 8 2" xfId="495" xr:uid="{00000000-0005-0000-0000-000001020000}"/>
    <cellStyle name="Accent3 9" xfId="496" xr:uid="{00000000-0005-0000-0000-000002020000}"/>
    <cellStyle name="Accent3 9 2" xfId="497" xr:uid="{00000000-0005-0000-0000-000003020000}"/>
    <cellStyle name="Accent4" xfId="39" builtinId="41" customBuiltin="1"/>
    <cellStyle name="Accent4 10" xfId="498" xr:uid="{00000000-0005-0000-0000-000005020000}"/>
    <cellStyle name="Accent4 2" xfId="499" xr:uid="{00000000-0005-0000-0000-000006020000}"/>
    <cellStyle name="Accent4 2 2" xfId="500" xr:uid="{00000000-0005-0000-0000-000007020000}"/>
    <cellStyle name="Accent4 3" xfId="501" xr:uid="{00000000-0005-0000-0000-000008020000}"/>
    <cellStyle name="Accent4 3 2" xfId="502" xr:uid="{00000000-0005-0000-0000-000009020000}"/>
    <cellStyle name="Accent4 4" xfId="503" xr:uid="{00000000-0005-0000-0000-00000A020000}"/>
    <cellStyle name="Accent4 4 2" xfId="504" xr:uid="{00000000-0005-0000-0000-00000B020000}"/>
    <cellStyle name="Accent4 5" xfId="505" xr:uid="{00000000-0005-0000-0000-00000C020000}"/>
    <cellStyle name="Accent4 5 2" xfId="506" xr:uid="{00000000-0005-0000-0000-00000D020000}"/>
    <cellStyle name="Accent4 6" xfId="507" xr:uid="{00000000-0005-0000-0000-00000E020000}"/>
    <cellStyle name="Accent4 6 2" xfId="508" xr:uid="{00000000-0005-0000-0000-00000F020000}"/>
    <cellStyle name="Accent4 7" xfId="509" xr:uid="{00000000-0005-0000-0000-000010020000}"/>
    <cellStyle name="Accent4 7 2" xfId="510" xr:uid="{00000000-0005-0000-0000-000011020000}"/>
    <cellStyle name="Accent4 8" xfId="511" xr:uid="{00000000-0005-0000-0000-000012020000}"/>
    <cellStyle name="Accent4 8 2" xfId="512" xr:uid="{00000000-0005-0000-0000-000013020000}"/>
    <cellStyle name="Accent4 9" xfId="513" xr:uid="{00000000-0005-0000-0000-000014020000}"/>
    <cellStyle name="Accent4 9 2" xfId="514" xr:uid="{00000000-0005-0000-0000-000015020000}"/>
    <cellStyle name="Accent5" xfId="43" builtinId="45" customBuiltin="1"/>
    <cellStyle name="Accent5 10" xfId="515" xr:uid="{00000000-0005-0000-0000-000017020000}"/>
    <cellStyle name="Accent5 2" xfId="516" xr:uid="{00000000-0005-0000-0000-000018020000}"/>
    <cellStyle name="Accent5 2 2" xfId="517" xr:uid="{00000000-0005-0000-0000-000019020000}"/>
    <cellStyle name="Accent5 3" xfId="518" xr:uid="{00000000-0005-0000-0000-00001A020000}"/>
    <cellStyle name="Accent5 3 2" xfId="519" xr:uid="{00000000-0005-0000-0000-00001B020000}"/>
    <cellStyle name="Accent5 4" xfId="520" xr:uid="{00000000-0005-0000-0000-00001C020000}"/>
    <cellStyle name="Accent5 4 2" xfId="521" xr:uid="{00000000-0005-0000-0000-00001D020000}"/>
    <cellStyle name="Accent5 5" xfId="522" xr:uid="{00000000-0005-0000-0000-00001E020000}"/>
    <cellStyle name="Accent5 5 2" xfId="523" xr:uid="{00000000-0005-0000-0000-00001F020000}"/>
    <cellStyle name="Accent5 6" xfId="524" xr:uid="{00000000-0005-0000-0000-000020020000}"/>
    <cellStyle name="Accent5 6 2" xfId="525" xr:uid="{00000000-0005-0000-0000-000021020000}"/>
    <cellStyle name="Accent5 7" xfId="526" xr:uid="{00000000-0005-0000-0000-000022020000}"/>
    <cellStyle name="Accent5 7 2" xfId="527" xr:uid="{00000000-0005-0000-0000-000023020000}"/>
    <cellStyle name="Accent5 8" xfId="528" xr:uid="{00000000-0005-0000-0000-000024020000}"/>
    <cellStyle name="Accent5 8 2" xfId="529" xr:uid="{00000000-0005-0000-0000-000025020000}"/>
    <cellStyle name="Accent5 9" xfId="530" xr:uid="{00000000-0005-0000-0000-000026020000}"/>
    <cellStyle name="Accent5 9 2" xfId="531" xr:uid="{00000000-0005-0000-0000-000027020000}"/>
    <cellStyle name="Accent6" xfId="47" builtinId="49" customBuiltin="1"/>
    <cellStyle name="Accent6 10" xfId="532" xr:uid="{00000000-0005-0000-0000-000029020000}"/>
    <cellStyle name="Accent6 2" xfId="533" xr:uid="{00000000-0005-0000-0000-00002A020000}"/>
    <cellStyle name="Accent6 2 2" xfId="534" xr:uid="{00000000-0005-0000-0000-00002B020000}"/>
    <cellStyle name="Accent6 3" xfId="535" xr:uid="{00000000-0005-0000-0000-00002C020000}"/>
    <cellStyle name="Accent6 3 2" xfId="536" xr:uid="{00000000-0005-0000-0000-00002D020000}"/>
    <cellStyle name="Accent6 4" xfId="537" xr:uid="{00000000-0005-0000-0000-00002E020000}"/>
    <cellStyle name="Accent6 4 2" xfId="538" xr:uid="{00000000-0005-0000-0000-00002F020000}"/>
    <cellStyle name="Accent6 5" xfId="539" xr:uid="{00000000-0005-0000-0000-000030020000}"/>
    <cellStyle name="Accent6 5 2" xfId="540" xr:uid="{00000000-0005-0000-0000-000031020000}"/>
    <cellStyle name="Accent6 6" xfId="541" xr:uid="{00000000-0005-0000-0000-000032020000}"/>
    <cellStyle name="Accent6 6 2" xfId="542" xr:uid="{00000000-0005-0000-0000-000033020000}"/>
    <cellStyle name="Accent6 7" xfId="543" xr:uid="{00000000-0005-0000-0000-000034020000}"/>
    <cellStyle name="Accent6 7 2" xfId="544" xr:uid="{00000000-0005-0000-0000-000035020000}"/>
    <cellStyle name="Accent6 8" xfId="545" xr:uid="{00000000-0005-0000-0000-000036020000}"/>
    <cellStyle name="Accent6 8 2" xfId="546" xr:uid="{00000000-0005-0000-0000-000037020000}"/>
    <cellStyle name="Accent6 9" xfId="547" xr:uid="{00000000-0005-0000-0000-000038020000}"/>
    <cellStyle name="Accent6 9 2" xfId="548" xr:uid="{00000000-0005-0000-0000-000039020000}"/>
    <cellStyle name="ANCLAS,REZONES Y SUS PARTES,DE FUNDICION,DE HIERRO O DE ACERO" xfId="549" xr:uid="{00000000-0005-0000-0000-00003A020000}"/>
    <cellStyle name="ANCLAS,REZONES Y SUS PARTES,DE FUNDICION,DE HIERRO O DE ACERO 10" xfId="550" xr:uid="{00000000-0005-0000-0000-00003B020000}"/>
    <cellStyle name="ANCLAS,REZONES Y SUS PARTES,DE FUNDICION,DE HIERRO O DE ACERO 2" xfId="551" xr:uid="{00000000-0005-0000-0000-00003C020000}"/>
    <cellStyle name="ANCLAS,REZONES Y SUS PARTES,DE FUNDICION,DE HIERRO O DE ACERO 2 10" xfId="552" xr:uid="{00000000-0005-0000-0000-00003D020000}"/>
    <cellStyle name="ANCLAS,REZONES Y SUS PARTES,DE FUNDICION,DE HIERRO O DE ACERO 2 2" xfId="553" xr:uid="{00000000-0005-0000-0000-00003E020000}"/>
    <cellStyle name="ANCLAS,REZONES Y SUS PARTES,DE FUNDICION,DE HIERRO O DE ACERO 2 2 2" xfId="554" xr:uid="{00000000-0005-0000-0000-00003F020000}"/>
    <cellStyle name="ANCLAS,REZONES Y SUS PARTES,DE FUNDICION,DE HIERRO O DE ACERO 2 2 2 2" xfId="555" xr:uid="{00000000-0005-0000-0000-000040020000}"/>
    <cellStyle name="ANCLAS,REZONES Y SUS PARTES,DE FUNDICION,DE HIERRO O DE ACERO 2 2 3" xfId="88" xr:uid="{00000000-0005-0000-0000-000041020000}"/>
    <cellStyle name="ANCLAS,REZONES Y SUS PARTES,DE FUNDICION,DE HIERRO O DE ACERO 2 2 4" xfId="556" xr:uid="{00000000-0005-0000-0000-000042020000}"/>
    <cellStyle name="ANCLAS,REZONES Y SUS PARTES,DE FUNDICION,DE HIERRO O DE ACERO 2 3" xfId="557" xr:uid="{00000000-0005-0000-0000-000043020000}"/>
    <cellStyle name="ANCLAS,REZONES Y SUS PARTES,DE FUNDICION,DE HIERRO O DE ACERO 2 3 2" xfId="558" xr:uid="{00000000-0005-0000-0000-000044020000}"/>
    <cellStyle name="ANCLAS,REZONES Y SUS PARTES,DE FUNDICION,DE HIERRO O DE ACERO 2 3 3" xfId="559" xr:uid="{00000000-0005-0000-0000-000045020000}"/>
    <cellStyle name="ANCLAS,REZONES Y SUS PARTES,DE FUNDICION,DE HIERRO O DE ACERO 2 4" xfId="560" xr:uid="{00000000-0005-0000-0000-000046020000}"/>
    <cellStyle name="ANCLAS,REZONES Y SUS PARTES,DE FUNDICION,DE HIERRO O DE ACERO 2 5" xfId="561" xr:uid="{00000000-0005-0000-0000-000047020000}"/>
    <cellStyle name="ANCLAS,REZONES Y SUS PARTES,DE FUNDICION,DE HIERRO O DE ACERO 2 6" xfId="562" xr:uid="{00000000-0005-0000-0000-000048020000}"/>
    <cellStyle name="ANCLAS,REZONES Y SUS PARTES,DE FUNDICION,DE HIERRO O DE ACERO 2 7" xfId="563" xr:uid="{00000000-0005-0000-0000-000049020000}"/>
    <cellStyle name="ANCLAS,REZONES Y SUS PARTES,DE FUNDICION,DE HIERRO O DE ACERO 2 8" xfId="564" xr:uid="{00000000-0005-0000-0000-00004A020000}"/>
    <cellStyle name="ANCLAS,REZONES Y SUS PARTES,DE FUNDICION,DE HIERRO O DE ACERO 2 9" xfId="565" xr:uid="{00000000-0005-0000-0000-00004B020000}"/>
    <cellStyle name="ANCLAS,REZONES Y SUS PARTES,DE FUNDICION,DE HIERRO O DE ACERO 3" xfId="566" xr:uid="{00000000-0005-0000-0000-00004C020000}"/>
    <cellStyle name="ANCLAS,REZONES Y SUS PARTES,DE FUNDICION,DE HIERRO O DE ACERO 3 2" xfId="567" xr:uid="{00000000-0005-0000-0000-00004D020000}"/>
    <cellStyle name="ANCLAS,REZONES Y SUS PARTES,DE FUNDICION,DE HIERRO O DE ACERO 3 2 2" xfId="568" xr:uid="{00000000-0005-0000-0000-00004E020000}"/>
    <cellStyle name="ANCLAS,REZONES Y SUS PARTES,DE FUNDICION,DE HIERRO O DE ACERO 3 3" xfId="569" xr:uid="{00000000-0005-0000-0000-00004F020000}"/>
    <cellStyle name="ANCLAS,REZONES Y SUS PARTES,DE FUNDICION,DE HIERRO O DE ACERO 3 3 2" xfId="570" xr:uid="{00000000-0005-0000-0000-000050020000}"/>
    <cellStyle name="ANCLAS,REZONES Y SUS PARTES,DE FUNDICION,DE HIERRO O DE ACERO 3 4" xfId="571" xr:uid="{00000000-0005-0000-0000-000051020000}"/>
    <cellStyle name="ANCLAS,REZONES Y SUS PARTES,DE FUNDICION,DE HIERRO O DE ACERO 4" xfId="572" xr:uid="{00000000-0005-0000-0000-000052020000}"/>
    <cellStyle name="ANCLAS,REZONES Y SUS PARTES,DE FUNDICION,DE HIERRO O DE ACERO 4 2" xfId="573" xr:uid="{00000000-0005-0000-0000-000053020000}"/>
    <cellStyle name="ANCLAS,REZONES Y SUS PARTES,DE FUNDICION,DE HIERRO O DE ACERO 5" xfId="574" xr:uid="{00000000-0005-0000-0000-000054020000}"/>
    <cellStyle name="ANCLAS,REZONES Y SUS PARTES,DE FUNDICION,DE HIERRO O DE ACERO 6" xfId="575" xr:uid="{00000000-0005-0000-0000-000055020000}"/>
    <cellStyle name="ANCLAS,REZONES Y SUS PARTES,DE FUNDICION,DE HIERRO O DE ACERO 7" xfId="576" xr:uid="{00000000-0005-0000-0000-000056020000}"/>
    <cellStyle name="ANCLAS,REZONES Y SUS PARTES,DE FUNDICION,DE HIERRO O DE ACERO 8" xfId="577" xr:uid="{00000000-0005-0000-0000-000057020000}"/>
    <cellStyle name="ANCLAS,REZONES Y SUS PARTES,DE FUNDICION,DE HIERRO O DE ACERO 9" xfId="578" xr:uid="{00000000-0005-0000-0000-000058020000}"/>
    <cellStyle name="ANCLAS,REZONES Y SUS PARTES,DE FUNDICION,DE HIERRO O DE ACERO_BRA_Debt" xfId="579" xr:uid="{00000000-0005-0000-0000-000059020000}"/>
    <cellStyle name="annee semestre" xfId="580" xr:uid="{00000000-0005-0000-0000-00005A020000}"/>
    <cellStyle name="arial" xfId="581" xr:uid="{00000000-0005-0000-0000-00005B020000}"/>
    <cellStyle name="arial 2" xfId="2376" xr:uid="{00000000-0005-0000-0000-00005C020000}"/>
    <cellStyle name="arial 3" xfId="2377" xr:uid="{00000000-0005-0000-0000-00005D020000}"/>
    <cellStyle name="Array" xfId="582" xr:uid="{00000000-0005-0000-0000-00005E020000}"/>
    <cellStyle name="Array Enter" xfId="583" xr:uid="{00000000-0005-0000-0000-00005F020000}"/>
    <cellStyle name="Array_041216_Fisc_Table" xfId="584" xr:uid="{00000000-0005-0000-0000-000060020000}"/>
    <cellStyle name="b0let" xfId="585" xr:uid="{00000000-0005-0000-0000-000061020000}"/>
    <cellStyle name="Bad" xfId="17" builtinId="27" customBuiltin="1"/>
    <cellStyle name="Bad 10" xfId="586" xr:uid="{00000000-0005-0000-0000-000063020000}"/>
    <cellStyle name="Bad 2" xfId="587" xr:uid="{00000000-0005-0000-0000-000064020000}"/>
    <cellStyle name="Bad 2 2" xfId="588" xr:uid="{00000000-0005-0000-0000-000065020000}"/>
    <cellStyle name="Bad 3" xfId="589" xr:uid="{00000000-0005-0000-0000-000066020000}"/>
    <cellStyle name="Bad 3 2" xfId="590" xr:uid="{00000000-0005-0000-0000-000067020000}"/>
    <cellStyle name="Bad 4" xfId="591" xr:uid="{00000000-0005-0000-0000-000068020000}"/>
    <cellStyle name="Bad 4 2" xfId="592" xr:uid="{00000000-0005-0000-0000-000069020000}"/>
    <cellStyle name="Bad 5" xfId="593" xr:uid="{00000000-0005-0000-0000-00006A020000}"/>
    <cellStyle name="Bad 5 2" xfId="594" xr:uid="{00000000-0005-0000-0000-00006B020000}"/>
    <cellStyle name="Bad 6" xfId="595" xr:uid="{00000000-0005-0000-0000-00006C020000}"/>
    <cellStyle name="Bad 6 2" xfId="596" xr:uid="{00000000-0005-0000-0000-00006D020000}"/>
    <cellStyle name="Bad 7" xfId="597" xr:uid="{00000000-0005-0000-0000-00006E020000}"/>
    <cellStyle name="Bad 7 2" xfId="598" xr:uid="{00000000-0005-0000-0000-00006F020000}"/>
    <cellStyle name="Bad 8" xfId="599" xr:uid="{00000000-0005-0000-0000-000070020000}"/>
    <cellStyle name="Bad 8 2" xfId="600" xr:uid="{00000000-0005-0000-0000-000071020000}"/>
    <cellStyle name="Bad 9" xfId="601" xr:uid="{00000000-0005-0000-0000-000072020000}"/>
    <cellStyle name="Bad 9 2" xfId="602" xr:uid="{00000000-0005-0000-0000-000073020000}"/>
    <cellStyle name="Bol-Data" xfId="603" xr:uid="{00000000-0005-0000-0000-000074020000}"/>
    <cellStyle name="bolet" xfId="604" xr:uid="{00000000-0005-0000-0000-000075020000}"/>
    <cellStyle name="bolet 10" xfId="605" xr:uid="{00000000-0005-0000-0000-000076020000}"/>
    <cellStyle name="bolet 2" xfId="606" xr:uid="{00000000-0005-0000-0000-000077020000}"/>
    <cellStyle name="bolet 3" xfId="607" xr:uid="{00000000-0005-0000-0000-000078020000}"/>
    <cellStyle name="bolet 3 2" xfId="608" xr:uid="{00000000-0005-0000-0000-000079020000}"/>
    <cellStyle name="bolet 4" xfId="609" xr:uid="{00000000-0005-0000-0000-00007A020000}"/>
    <cellStyle name="bolet 5" xfId="610" xr:uid="{00000000-0005-0000-0000-00007B020000}"/>
    <cellStyle name="bolet 6" xfId="611" xr:uid="{00000000-0005-0000-0000-00007C020000}"/>
    <cellStyle name="bolet 7" xfId="612" xr:uid="{00000000-0005-0000-0000-00007D020000}"/>
    <cellStyle name="bolet 8" xfId="613" xr:uid="{00000000-0005-0000-0000-00007E020000}"/>
    <cellStyle name="bolet 9" xfId="614" xr:uid="{00000000-0005-0000-0000-00007F020000}"/>
    <cellStyle name="bolet_Tab4-20" xfId="615" xr:uid="{00000000-0005-0000-0000-000080020000}"/>
    <cellStyle name="Boletim" xfId="616" xr:uid="{00000000-0005-0000-0000-000081020000}"/>
    <cellStyle name="Boletim 2" xfId="617" xr:uid="{00000000-0005-0000-0000-000082020000}"/>
    <cellStyle name="Boletim 2 2" xfId="618" xr:uid="{00000000-0005-0000-0000-000083020000}"/>
    <cellStyle name="Boletim 3" xfId="619" xr:uid="{00000000-0005-0000-0000-000084020000}"/>
    <cellStyle name="Boletim 4" xfId="620" xr:uid="{00000000-0005-0000-0000-000085020000}"/>
    <cellStyle name="Boletim 5" xfId="621" xr:uid="{00000000-0005-0000-0000-000086020000}"/>
    <cellStyle name="Boletim 6" xfId="622" xr:uid="{00000000-0005-0000-0000-000087020000}"/>
    <cellStyle name="Boletim 7" xfId="623" xr:uid="{00000000-0005-0000-0000-000088020000}"/>
    <cellStyle name="Cabe‡alho 1" xfId="624" xr:uid="{00000000-0005-0000-0000-000089020000}"/>
    <cellStyle name="Cabe‡alho 2" xfId="625" xr:uid="{00000000-0005-0000-0000-00008A020000}"/>
    <cellStyle name="Calculation" xfId="21" builtinId="22" customBuiltin="1"/>
    <cellStyle name="Calculation 10" xfId="626" xr:uid="{00000000-0005-0000-0000-00008C020000}"/>
    <cellStyle name="Calculation 2" xfId="627" xr:uid="{00000000-0005-0000-0000-00008D020000}"/>
    <cellStyle name="Calculation 2 2" xfId="628" xr:uid="{00000000-0005-0000-0000-00008E020000}"/>
    <cellStyle name="Calculation 3" xfId="629" xr:uid="{00000000-0005-0000-0000-00008F020000}"/>
    <cellStyle name="Calculation 3 2" xfId="630" xr:uid="{00000000-0005-0000-0000-000090020000}"/>
    <cellStyle name="Calculation 4" xfId="631" xr:uid="{00000000-0005-0000-0000-000091020000}"/>
    <cellStyle name="Calculation 4 2" xfId="632" xr:uid="{00000000-0005-0000-0000-000092020000}"/>
    <cellStyle name="Calculation 5" xfId="633" xr:uid="{00000000-0005-0000-0000-000093020000}"/>
    <cellStyle name="Calculation 5 2" xfId="634" xr:uid="{00000000-0005-0000-0000-000094020000}"/>
    <cellStyle name="Calculation 6" xfId="635" xr:uid="{00000000-0005-0000-0000-000095020000}"/>
    <cellStyle name="Calculation 6 2" xfId="636" xr:uid="{00000000-0005-0000-0000-000096020000}"/>
    <cellStyle name="Calculation 7" xfId="637" xr:uid="{00000000-0005-0000-0000-000097020000}"/>
    <cellStyle name="Calculation 7 2" xfId="638" xr:uid="{00000000-0005-0000-0000-000098020000}"/>
    <cellStyle name="Calculation 8" xfId="639" xr:uid="{00000000-0005-0000-0000-000099020000}"/>
    <cellStyle name="Calculation 8 2" xfId="640" xr:uid="{00000000-0005-0000-0000-00009A020000}"/>
    <cellStyle name="Calculation 9" xfId="641" xr:uid="{00000000-0005-0000-0000-00009B020000}"/>
    <cellStyle name="Calculation 9 2" xfId="642" xr:uid="{00000000-0005-0000-0000-00009C020000}"/>
    <cellStyle name="Check Cell" xfId="23" builtinId="23" customBuiltin="1"/>
    <cellStyle name="Check Cell 10" xfId="643" xr:uid="{00000000-0005-0000-0000-00009E020000}"/>
    <cellStyle name="Check Cell 2" xfId="644" xr:uid="{00000000-0005-0000-0000-00009F020000}"/>
    <cellStyle name="Check Cell 2 2" xfId="645" xr:uid="{00000000-0005-0000-0000-0000A0020000}"/>
    <cellStyle name="Check Cell 3" xfId="646" xr:uid="{00000000-0005-0000-0000-0000A1020000}"/>
    <cellStyle name="Check Cell 3 2" xfId="647" xr:uid="{00000000-0005-0000-0000-0000A2020000}"/>
    <cellStyle name="Check Cell 4" xfId="648" xr:uid="{00000000-0005-0000-0000-0000A3020000}"/>
    <cellStyle name="Check Cell 4 2" xfId="649" xr:uid="{00000000-0005-0000-0000-0000A4020000}"/>
    <cellStyle name="Check Cell 5" xfId="650" xr:uid="{00000000-0005-0000-0000-0000A5020000}"/>
    <cellStyle name="Check Cell 5 2" xfId="651" xr:uid="{00000000-0005-0000-0000-0000A6020000}"/>
    <cellStyle name="Check Cell 6" xfId="652" xr:uid="{00000000-0005-0000-0000-0000A7020000}"/>
    <cellStyle name="Check Cell 6 2" xfId="653" xr:uid="{00000000-0005-0000-0000-0000A8020000}"/>
    <cellStyle name="Check Cell 7" xfId="654" xr:uid="{00000000-0005-0000-0000-0000A9020000}"/>
    <cellStyle name="Check Cell 7 2" xfId="655" xr:uid="{00000000-0005-0000-0000-0000AA020000}"/>
    <cellStyle name="Check Cell 8" xfId="656" xr:uid="{00000000-0005-0000-0000-0000AB020000}"/>
    <cellStyle name="Check Cell 8 2" xfId="657" xr:uid="{00000000-0005-0000-0000-0000AC020000}"/>
    <cellStyle name="Check Cell 9" xfId="658" xr:uid="{00000000-0005-0000-0000-0000AD020000}"/>
    <cellStyle name="Check Cell 9 2" xfId="659" xr:uid="{00000000-0005-0000-0000-0000AE020000}"/>
    <cellStyle name="CHF" xfId="660" xr:uid="{00000000-0005-0000-0000-0000AF020000}"/>
    <cellStyle name="CHF 2" xfId="661" xr:uid="{00000000-0005-0000-0000-0000B0020000}"/>
    <cellStyle name="Clive" xfId="662" xr:uid="{00000000-0005-0000-0000-0000B1020000}"/>
    <cellStyle name="clsAltData" xfId="663" xr:uid="{00000000-0005-0000-0000-0000B2020000}"/>
    <cellStyle name="clsAltData 2" xfId="2378" xr:uid="{00000000-0005-0000-0000-0000B3020000}"/>
    <cellStyle name="clsAltData 2 2" xfId="2379" xr:uid="{00000000-0005-0000-0000-0000B4020000}"/>
    <cellStyle name="clsAltDataPrezn1" xfId="664" xr:uid="{00000000-0005-0000-0000-0000B5020000}"/>
    <cellStyle name="clsAltDataPrezn3" xfId="665" xr:uid="{00000000-0005-0000-0000-0000B6020000}"/>
    <cellStyle name="clsAltDataPrezn4" xfId="666" xr:uid="{00000000-0005-0000-0000-0000B7020000}"/>
    <cellStyle name="clsAltDataPrezn5" xfId="667" xr:uid="{00000000-0005-0000-0000-0000B8020000}"/>
    <cellStyle name="clsAltDataPrezn6" xfId="668" xr:uid="{00000000-0005-0000-0000-0000B9020000}"/>
    <cellStyle name="clsAltMRVData" xfId="669" xr:uid="{00000000-0005-0000-0000-0000BA020000}"/>
    <cellStyle name="clsAltMRVData 2" xfId="2380" xr:uid="{00000000-0005-0000-0000-0000BB020000}"/>
    <cellStyle name="clsAltMRVData 2 2" xfId="2381" xr:uid="{00000000-0005-0000-0000-0000BC020000}"/>
    <cellStyle name="clsAltMRVDataPrezn1" xfId="670" xr:uid="{00000000-0005-0000-0000-0000BD020000}"/>
    <cellStyle name="clsAltMRVDataPrezn3" xfId="671" xr:uid="{00000000-0005-0000-0000-0000BE020000}"/>
    <cellStyle name="clsAltMRVDataPrezn4" xfId="672" xr:uid="{00000000-0005-0000-0000-0000BF020000}"/>
    <cellStyle name="clsAltMRVDataPrezn5" xfId="673" xr:uid="{00000000-0005-0000-0000-0000C0020000}"/>
    <cellStyle name="clsAltMRVDataPrezn6" xfId="674" xr:uid="{00000000-0005-0000-0000-0000C1020000}"/>
    <cellStyle name="clsBlank" xfId="675" xr:uid="{00000000-0005-0000-0000-0000C2020000}"/>
    <cellStyle name="clsBlank 2" xfId="2382" xr:uid="{00000000-0005-0000-0000-0000C3020000}"/>
    <cellStyle name="clsBlank 2 2" xfId="2383" xr:uid="{00000000-0005-0000-0000-0000C4020000}"/>
    <cellStyle name="clsColumnHeader" xfId="676" xr:uid="{00000000-0005-0000-0000-0000C5020000}"/>
    <cellStyle name="clsColumnHeader 2" xfId="2384" xr:uid="{00000000-0005-0000-0000-0000C6020000}"/>
    <cellStyle name="clsColumnHeader 2 2" xfId="2385" xr:uid="{00000000-0005-0000-0000-0000C7020000}"/>
    <cellStyle name="clsData" xfId="677" xr:uid="{00000000-0005-0000-0000-0000C8020000}"/>
    <cellStyle name="clsData 2" xfId="2386" xr:uid="{00000000-0005-0000-0000-0000C9020000}"/>
    <cellStyle name="clsData 2 2" xfId="2387" xr:uid="{00000000-0005-0000-0000-0000CA020000}"/>
    <cellStyle name="clsDataPrezn1" xfId="678" xr:uid="{00000000-0005-0000-0000-0000CB020000}"/>
    <cellStyle name="clsDataPrezn3" xfId="679" xr:uid="{00000000-0005-0000-0000-0000CC020000}"/>
    <cellStyle name="clsDataPrezn4" xfId="680" xr:uid="{00000000-0005-0000-0000-0000CD020000}"/>
    <cellStyle name="clsDataPrezn5" xfId="681" xr:uid="{00000000-0005-0000-0000-0000CE020000}"/>
    <cellStyle name="clsDataPrezn6" xfId="682" xr:uid="{00000000-0005-0000-0000-0000CF020000}"/>
    <cellStyle name="clsDefault" xfId="683" xr:uid="{00000000-0005-0000-0000-0000D0020000}"/>
    <cellStyle name="clsDefault 2" xfId="2388" xr:uid="{00000000-0005-0000-0000-0000D1020000}"/>
    <cellStyle name="clsDefault 2 2" xfId="2389" xr:uid="{00000000-0005-0000-0000-0000D2020000}"/>
    <cellStyle name="clsFooter" xfId="684" xr:uid="{00000000-0005-0000-0000-0000D3020000}"/>
    <cellStyle name="clsFooter 2" xfId="2390" xr:uid="{00000000-0005-0000-0000-0000D4020000}"/>
    <cellStyle name="clsFooter 2 2" xfId="2391" xr:uid="{00000000-0005-0000-0000-0000D5020000}"/>
    <cellStyle name="clsIndexTableData" xfId="685" xr:uid="{00000000-0005-0000-0000-0000D6020000}"/>
    <cellStyle name="clsIndexTableHdr" xfId="686" xr:uid="{00000000-0005-0000-0000-0000D7020000}"/>
    <cellStyle name="clsIndexTableTitle" xfId="687" xr:uid="{00000000-0005-0000-0000-0000D8020000}"/>
    <cellStyle name="clsIndexTableTitle 2" xfId="2392" xr:uid="{00000000-0005-0000-0000-0000D9020000}"/>
    <cellStyle name="clsIndexTableTitle 2 2" xfId="2393" xr:uid="{00000000-0005-0000-0000-0000DA020000}"/>
    <cellStyle name="clsMRVData" xfId="688" xr:uid="{00000000-0005-0000-0000-0000DB020000}"/>
    <cellStyle name="clsMRVData 2" xfId="2394" xr:uid="{00000000-0005-0000-0000-0000DC020000}"/>
    <cellStyle name="clsMRVData 2 2" xfId="2395" xr:uid="{00000000-0005-0000-0000-0000DD020000}"/>
    <cellStyle name="clsMRVDataPrezn1" xfId="689" xr:uid="{00000000-0005-0000-0000-0000DE020000}"/>
    <cellStyle name="clsMRVDataPrezn3" xfId="690" xr:uid="{00000000-0005-0000-0000-0000DF020000}"/>
    <cellStyle name="clsMRVDataPrezn4" xfId="691" xr:uid="{00000000-0005-0000-0000-0000E0020000}"/>
    <cellStyle name="clsMRVDataPrezn5" xfId="692" xr:uid="{00000000-0005-0000-0000-0000E1020000}"/>
    <cellStyle name="clsMRVDataPrezn6" xfId="693" xr:uid="{00000000-0005-0000-0000-0000E2020000}"/>
    <cellStyle name="clsReportFooter" xfId="694" xr:uid="{00000000-0005-0000-0000-0000E3020000}"/>
    <cellStyle name="clsReportFooter 2" xfId="2396" xr:uid="{00000000-0005-0000-0000-0000E4020000}"/>
    <cellStyle name="clsReportFooter 2 2" xfId="2397" xr:uid="{00000000-0005-0000-0000-0000E5020000}"/>
    <cellStyle name="clsReportHeader" xfId="695" xr:uid="{00000000-0005-0000-0000-0000E6020000}"/>
    <cellStyle name="clsReportHeader 2" xfId="2398" xr:uid="{00000000-0005-0000-0000-0000E7020000}"/>
    <cellStyle name="clsReportHeader 2 2" xfId="2399" xr:uid="{00000000-0005-0000-0000-0000E8020000}"/>
    <cellStyle name="clsRowHeader" xfId="696" xr:uid="{00000000-0005-0000-0000-0000E9020000}"/>
    <cellStyle name="clsRowHeader 2" xfId="2400" xr:uid="{00000000-0005-0000-0000-0000EA020000}"/>
    <cellStyle name="clsRowHeader 2 2" xfId="2401" xr:uid="{00000000-0005-0000-0000-0000EB020000}"/>
    <cellStyle name="clsScale" xfId="697" xr:uid="{00000000-0005-0000-0000-0000EC020000}"/>
    <cellStyle name="clsScale 2" xfId="2402" xr:uid="{00000000-0005-0000-0000-0000ED020000}"/>
    <cellStyle name="clsScale 2 2" xfId="2403" xr:uid="{00000000-0005-0000-0000-0000EE020000}"/>
    <cellStyle name="clsSection" xfId="698" xr:uid="{00000000-0005-0000-0000-0000EF020000}"/>
    <cellStyle name="clsSection 2" xfId="2404" xr:uid="{00000000-0005-0000-0000-0000F0020000}"/>
    <cellStyle name="clsSection 2 2" xfId="2405" xr:uid="{00000000-0005-0000-0000-0000F1020000}"/>
    <cellStyle name="Comma  - Style1" xfId="699" xr:uid="{00000000-0005-0000-0000-0000F2020000}"/>
    <cellStyle name="Comma  - Style1 2" xfId="2406" xr:uid="{00000000-0005-0000-0000-0000F3020000}"/>
    <cellStyle name="Comma  - Style1 3" xfId="2407" xr:uid="{00000000-0005-0000-0000-0000F4020000}"/>
    <cellStyle name="Comma  - Style2" xfId="2408" xr:uid="{00000000-0005-0000-0000-0000F5020000}"/>
    <cellStyle name="Comma  - Style3" xfId="2409" xr:uid="{00000000-0005-0000-0000-0000F6020000}"/>
    <cellStyle name="Comma  - Style4" xfId="2410" xr:uid="{00000000-0005-0000-0000-0000F7020000}"/>
    <cellStyle name="Comma  - Style5" xfId="2411" xr:uid="{00000000-0005-0000-0000-0000F8020000}"/>
    <cellStyle name="Comma  - Style6" xfId="2412" xr:uid="{00000000-0005-0000-0000-0000F9020000}"/>
    <cellStyle name="Comma  - Style7" xfId="2413" xr:uid="{00000000-0005-0000-0000-0000FA020000}"/>
    <cellStyle name="Comma 10" xfId="700" xr:uid="{00000000-0005-0000-0000-0000FB020000}"/>
    <cellStyle name="Comma 11" xfId="701" xr:uid="{00000000-0005-0000-0000-0000FC020000}"/>
    <cellStyle name="Comma 12" xfId="702" xr:uid="{00000000-0005-0000-0000-0000FD020000}"/>
    <cellStyle name="Comma 13" xfId="703" xr:uid="{00000000-0005-0000-0000-0000FE020000}"/>
    <cellStyle name="Comma 13 2" xfId="2414" xr:uid="{00000000-0005-0000-0000-0000FF020000}"/>
    <cellStyle name="Comma 13 3" xfId="2415" xr:uid="{00000000-0005-0000-0000-000000030000}"/>
    <cellStyle name="Comma 13 4" xfId="2154" xr:uid="{00000000-0005-0000-0000-000001030000}"/>
    <cellStyle name="Comma 14" xfId="2344" xr:uid="{00000000-0005-0000-0000-000002030000}"/>
    <cellStyle name="Comma 15" xfId="2351" xr:uid="{00000000-0005-0000-0000-000003030000}"/>
    <cellStyle name="Comma 15 2" xfId="2416" xr:uid="{00000000-0005-0000-0000-000004030000}"/>
    <cellStyle name="Comma 16" xfId="2417" xr:uid="{00000000-0005-0000-0000-000005030000}"/>
    <cellStyle name="Comma 16 2" xfId="2418" xr:uid="{00000000-0005-0000-0000-000006030000}"/>
    <cellStyle name="Comma 17" xfId="2419" xr:uid="{00000000-0005-0000-0000-000007030000}"/>
    <cellStyle name="Comma 18" xfId="2420" xr:uid="{00000000-0005-0000-0000-000008030000}"/>
    <cellStyle name="Comma 19" xfId="2421" xr:uid="{00000000-0005-0000-0000-000009030000}"/>
    <cellStyle name="Comma 2" xfId="704" xr:uid="{00000000-0005-0000-0000-00000A030000}"/>
    <cellStyle name="Comma 2 2" xfId="705" xr:uid="{00000000-0005-0000-0000-00000B030000}"/>
    <cellStyle name="Comma 2 3" xfId="706" xr:uid="{00000000-0005-0000-0000-00000C030000}"/>
    <cellStyle name="Comma 2 3 2" xfId="707" xr:uid="{00000000-0005-0000-0000-00000D030000}"/>
    <cellStyle name="Comma 2 4" xfId="708" xr:uid="{00000000-0005-0000-0000-00000E030000}"/>
    <cellStyle name="Comma 2 5" xfId="709" xr:uid="{00000000-0005-0000-0000-00000F030000}"/>
    <cellStyle name="Comma 2 5 2" xfId="710" xr:uid="{00000000-0005-0000-0000-000010030000}"/>
    <cellStyle name="Comma 2 6" xfId="711" xr:uid="{00000000-0005-0000-0000-000011030000}"/>
    <cellStyle name="Comma 2 7" xfId="712" xr:uid="{00000000-0005-0000-0000-000012030000}"/>
    <cellStyle name="Comma 2 8" xfId="2422" xr:uid="{00000000-0005-0000-0000-000013030000}"/>
    <cellStyle name="Comma 20" xfId="2423" xr:uid="{00000000-0005-0000-0000-000014030000}"/>
    <cellStyle name="Comma 21" xfId="2424" xr:uid="{00000000-0005-0000-0000-000015030000}"/>
    <cellStyle name="Comma 22" xfId="2425" xr:uid="{00000000-0005-0000-0000-000016030000}"/>
    <cellStyle name="Comma 23" xfId="2426" xr:uid="{00000000-0005-0000-0000-000017030000}"/>
    <cellStyle name="Comma 24" xfId="2427" xr:uid="{00000000-0005-0000-0000-000018030000}"/>
    <cellStyle name="Comma 25" xfId="2428" xr:uid="{00000000-0005-0000-0000-000019030000}"/>
    <cellStyle name="Comma 26" xfId="2429" xr:uid="{00000000-0005-0000-0000-00001A030000}"/>
    <cellStyle name="Comma 27" xfId="2430" xr:uid="{00000000-0005-0000-0000-00001B030000}"/>
    <cellStyle name="Comma 28" xfId="2431" xr:uid="{00000000-0005-0000-0000-00001C030000}"/>
    <cellStyle name="Comma 29" xfId="2432" xr:uid="{00000000-0005-0000-0000-00001D030000}"/>
    <cellStyle name="Comma 3" xfId="72" xr:uid="{00000000-0005-0000-0000-00001E030000}"/>
    <cellStyle name="Comma 3 10" xfId="713" xr:uid="{00000000-0005-0000-0000-00001F030000}"/>
    <cellStyle name="Comma 3 11" xfId="714" xr:uid="{00000000-0005-0000-0000-000020030000}"/>
    <cellStyle name="Comma 3 11 2" xfId="2433" xr:uid="{00000000-0005-0000-0000-000021030000}"/>
    <cellStyle name="Comma 3 11 3" xfId="2434" xr:uid="{00000000-0005-0000-0000-000022030000}"/>
    <cellStyle name="Comma 3 11 4" xfId="2155" xr:uid="{00000000-0005-0000-0000-000023030000}"/>
    <cellStyle name="Comma 3 12" xfId="715" xr:uid="{00000000-0005-0000-0000-000024030000}"/>
    <cellStyle name="Comma 3 13" xfId="2113" xr:uid="{00000000-0005-0000-0000-000025030000}"/>
    <cellStyle name="Comma 3 2" xfId="716" xr:uid="{00000000-0005-0000-0000-000026030000}"/>
    <cellStyle name="Comma 3 2 2" xfId="717" xr:uid="{00000000-0005-0000-0000-000027030000}"/>
    <cellStyle name="Comma 3 2 2 2" xfId="718" xr:uid="{00000000-0005-0000-0000-000028030000}"/>
    <cellStyle name="Comma 3 2 3" xfId="2114" xr:uid="{00000000-0005-0000-0000-000029030000}"/>
    <cellStyle name="Comma 3 3" xfId="719" xr:uid="{00000000-0005-0000-0000-00002A030000}"/>
    <cellStyle name="Comma 3 3 2" xfId="720" xr:uid="{00000000-0005-0000-0000-00002B030000}"/>
    <cellStyle name="Comma 3 3 2 2" xfId="721" xr:uid="{00000000-0005-0000-0000-00002C030000}"/>
    <cellStyle name="Comma 3 4" xfId="722" xr:uid="{00000000-0005-0000-0000-00002D030000}"/>
    <cellStyle name="Comma 3 4 2" xfId="723" xr:uid="{00000000-0005-0000-0000-00002E030000}"/>
    <cellStyle name="Comma 3 5" xfId="724" xr:uid="{00000000-0005-0000-0000-00002F030000}"/>
    <cellStyle name="Comma 3 5 2" xfId="725" xr:uid="{00000000-0005-0000-0000-000030030000}"/>
    <cellStyle name="Comma 3 6" xfId="726" xr:uid="{00000000-0005-0000-0000-000031030000}"/>
    <cellStyle name="Comma 3 6 2" xfId="727" xr:uid="{00000000-0005-0000-0000-000032030000}"/>
    <cellStyle name="Comma 3 7" xfId="728" xr:uid="{00000000-0005-0000-0000-000033030000}"/>
    <cellStyle name="Comma 3 7 2" xfId="729" xr:uid="{00000000-0005-0000-0000-000034030000}"/>
    <cellStyle name="Comma 3 8" xfId="730" xr:uid="{00000000-0005-0000-0000-000035030000}"/>
    <cellStyle name="Comma 3 9" xfId="731" xr:uid="{00000000-0005-0000-0000-000036030000}"/>
    <cellStyle name="Comma 30" xfId="2435" xr:uid="{00000000-0005-0000-0000-000037030000}"/>
    <cellStyle name="Comma 31" xfId="2436" xr:uid="{00000000-0005-0000-0000-000038030000}"/>
    <cellStyle name="Comma 32" xfId="2437" xr:uid="{00000000-0005-0000-0000-000039030000}"/>
    <cellStyle name="Comma 33" xfId="2438" xr:uid="{00000000-0005-0000-0000-00003A030000}"/>
    <cellStyle name="Comma 34" xfId="2439" xr:uid="{00000000-0005-0000-0000-00003B030000}"/>
    <cellStyle name="Comma 35" xfId="2440" xr:uid="{00000000-0005-0000-0000-00003C030000}"/>
    <cellStyle name="Comma 36" xfId="2441" xr:uid="{00000000-0005-0000-0000-00003D030000}"/>
    <cellStyle name="Comma 37" xfId="2442" xr:uid="{00000000-0005-0000-0000-00003E030000}"/>
    <cellStyle name="Comma 38" xfId="2443" xr:uid="{00000000-0005-0000-0000-00003F030000}"/>
    <cellStyle name="Comma 39" xfId="2444" xr:uid="{00000000-0005-0000-0000-000040030000}"/>
    <cellStyle name="Comma 4" xfId="732" xr:uid="{00000000-0005-0000-0000-000041030000}"/>
    <cellStyle name="Comma 4 2" xfId="733" xr:uid="{00000000-0005-0000-0000-000042030000}"/>
    <cellStyle name="Comma 4 2 2" xfId="734" xr:uid="{00000000-0005-0000-0000-000043030000}"/>
    <cellStyle name="Comma 4 3" xfId="735" xr:uid="{00000000-0005-0000-0000-000044030000}"/>
    <cellStyle name="Comma 4 4" xfId="2115" xr:uid="{00000000-0005-0000-0000-000045030000}"/>
    <cellStyle name="Comma 40" xfId="2445" xr:uid="{00000000-0005-0000-0000-000046030000}"/>
    <cellStyle name="Comma 41" xfId="2446" xr:uid="{00000000-0005-0000-0000-000047030000}"/>
    <cellStyle name="Comma 42" xfId="2447" xr:uid="{00000000-0005-0000-0000-000048030000}"/>
    <cellStyle name="Comma 43" xfId="2448" xr:uid="{00000000-0005-0000-0000-000049030000}"/>
    <cellStyle name="Comma 44" xfId="2449" xr:uid="{00000000-0005-0000-0000-00004A030000}"/>
    <cellStyle name="Comma 45" xfId="2450" xr:uid="{00000000-0005-0000-0000-00004B030000}"/>
    <cellStyle name="Comma 46" xfId="2451" xr:uid="{00000000-0005-0000-0000-00004C030000}"/>
    <cellStyle name="Comma 47" xfId="2452" xr:uid="{00000000-0005-0000-0000-00004D030000}"/>
    <cellStyle name="Comma 48" xfId="2453" xr:uid="{00000000-0005-0000-0000-00004E030000}"/>
    <cellStyle name="Comma 49" xfId="2454" xr:uid="{00000000-0005-0000-0000-00004F030000}"/>
    <cellStyle name="Comma 5" xfId="736" xr:uid="{00000000-0005-0000-0000-000050030000}"/>
    <cellStyle name="Comma 5 10" xfId="737" xr:uid="{00000000-0005-0000-0000-000051030000}"/>
    <cellStyle name="Comma 5 10 2" xfId="2455" xr:uid="{00000000-0005-0000-0000-000052030000}"/>
    <cellStyle name="Comma 5 10 3" xfId="2456" xr:uid="{00000000-0005-0000-0000-000053030000}"/>
    <cellStyle name="Comma 5 10 4" xfId="2156" xr:uid="{00000000-0005-0000-0000-000054030000}"/>
    <cellStyle name="Comma 5 11" xfId="738" xr:uid="{00000000-0005-0000-0000-000055030000}"/>
    <cellStyle name="Comma 5 11 2" xfId="2457" xr:uid="{00000000-0005-0000-0000-000056030000}"/>
    <cellStyle name="Comma 5 11 3" xfId="2458" xr:uid="{00000000-0005-0000-0000-000057030000}"/>
    <cellStyle name="Comma 5 11 4" xfId="2157" xr:uid="{00000000-0005-0000-0000-000058030000}"/>
    <cellStyle name="Comma 5 12" xfId="2116" xr:uid="{00000000-0005-0000-0000-000059030000}"/>
    <cellStyle name="Comma 5 2" xfId="739" xr:uid="{00000000-0005-0000-0000-00005A030000}"/>
    <cellStyle name="Comma 5 2 2" xfId="740" xr:uid="{00000000-0005-0000-0000-00005B030000}"/>
    <cellStyle name="Comma 5 2 2 2" xfId="2459" xr:uid="{00000000-0005-0000-0000-00005C030000}"/>
    <cellStyle name="Comma 5 2 2 3" xfId="2460" xr:uid="{00000000-0005-0000-0000-00005D030000}"/>
    <cellStyle name="Comma 5 2 2 4" xfId="2159" xr:uid="{00000000-0005-0000-0000-00005E030000}"/>
    <cellStyle name="Comma 5 2 3" xfId="741" xr:uid="{00000000-0005-0000-0000-00005F030000}"/>
    <cellStyle name="Comma 5 2 4" xfId="2461" xr:uid="{00000000-0005-0000-0000-000060030000}"/>
    <cellStyle name="Comma 5 2 5" xfId="2158" xr:uid="{00000000-0005-0000-0000-000061030000}"/>
    <cellStyle name="Comma 5 3" xfId="742" xr:uid="{00000000-0005-0000-0000-000062030000}"/>
    <cellStyle name="Comma 5 4" xfId="743" xr:uid="{00000000-0005-0000-0000-000063030000}"/>
    <cellStyle name="Comma 5 4 2" xfId="2462" xr:uid="{00000000-0005-0000-0000-000064030000}"/>
    <cellStyle name="Comma 5 4 3" xfId="2463" xr:uid="{00000000-0005-0000-0000-000065030000}"/>
    <cellStyle name="Comma 5 4 4" xfId="2160" xr:uid="{00000000-0005-0000-0000-000066030000}"/>
    <cellStyle name="Comma 5 5" xfId="744" xr:uid="{00000000-0005-0000-0000-000067030000}"/>
    <cellStyle name="Comma 5 6" xfId="745" xr:uid="{00000000-0005-0000-0000-000068030000}"/>
    <cellStyle name="Comma 5 7" xfId="746" xr:uid="{00000000-0005-0000-0000-000069030000}"/>
    <cellStyle name="Comma 5 8" xfId="747" xr:uid="{00000000-0005-0000-0000-00006A030000}"/>
    <cellStyle name="Comma 5 9" xfId="748" xr:uid="{00000000-0005-0000-0000-00006B030000}"/>
    <cellStyle name="Comma 50" xfId="2464" xr:uid="{00000000-0005-0000-0000-00006C030000}"/>
    <cellStyle name="Comma 51" xfId="2465" xr:uid="{00000000-0005-0000-0000-00006D030000}"/>
    <cellStyle name="Comma 52" xfId="2466" xr:uid="{00000000-0005-0000-0000-00006E030000}"/>
    <cellStyle name="Comma 53" xfId="2467" xr:uid="{00000000-0005-0000-0000-00006F030000}"/>
    <cellStyle name="Comma 54" xfId="2468" xr:uid="{00000000-0005-0000-0000-000070030000}"/>
    <cellStyle name="Comma 55" xfId="2469" xr:uid="{00000000-0005-0000-0000-000071030000}"/>
    <cellStyle name="Comma 56" xfId="2470" xr:uid="{00000000-0005-0000-0000-000072030000}"/>
    <cellStyle name="Comma 57" xfId="2471" xr:uid="{00000000-0005-0000-0000-000073030000}"/>
    <cellStyle name="Comma 58" xfId="2472" xr:uid="{00000000-0005-0000-0000-000074030000}"/>
    <cellStyle name="Comma 59" xfId="2473" xr:uid="{00000000-0005-0000-0000-000075030000}"/>
    <cellStyle name="Comma 6" xfId="749" xr:uid="{00000000-0005-0000-0000-000076030000}"/>
    <cellStyle name="Comma 60" xfId="2474" xr:uid="{00000000-0005-0000-0000-000077030000}"/>
    <cellStyle name="Comma 61" xfId="2475" xr:uid="{00000000-0005-0000-0000-000078030000}"/>
    <cellStyle name="Comma 62" xfId="2476" xr:uid="{00000000-0005-0000-0000-000079030000}"/>
    <cellStyle name="Comma 63" xfId="2477" xr:uid="{00000000-0005-0000-0000-00007A030000}"/>
    <cellStyle name="Comma 64" xfId="2478" xr:uid="{00000000-0005-0000-0000-00007B030000}"/>
    <cellStyle name="Comma 65" xfId="2479" xr:uid="{00000000-0005-0000-0000-00007C030000}"/>
    <cellStyle name="Comma 66" xfId="2480" xr:uid="{00000000-0005-0000-0000-00007D030000}"/>
    <cellStyle name="Comma 67" xfId="2481" xr:uid="{00000000-0005-0000-0000-00007E030000}"/>
    <cellStyle name="Comma 68" xfId="2482" xr:uid="{00000000-0005-0000-0000-00007F030000}"/>
    <cellStyle name="Comma 69" xfId="2483" xr:uid="{00000000-0005-0000-0000-000080030000}"/>
    <cellStyle name="Comma 7" xfId="750" xr:uid="{00000000-0005-0000-0000-000081030000}"/>
    <cellStyle name="Comma 70" xfId="2484" xr:uid="{00000000-0005-0000-0000-000082030000}"/>
    <cellStyle name="Comma 71" xfId="2485" xr:uid="{00000000-0005-0000-0000-000083030000}"/>
    <cellStyle name="Comma 72" xfId="2486" xr:uid="{00000000-0005-0000-0000-000084030000}"/>
    <cellStyle name="Comma 73" xfId="2487" xr:uid="{00000000-0005-0000-0000-000085030000}"/>
    <cellStyle name="Comma 74" xfId="2488" xr:uid="{00000000-0005-0000-0000-000086030000}"/>
    <cellStyle name="Comma 75" xfId="2489" xr:uid="{00000000-0005-0000-0000-000087030000}"/>
    <cellStyle name="Comma 76" xfId="2490" xr:uid="{00000000-0005-0000-0000-000088030000}"/>
    <cellStyle name="Comma 77" xfId="2491" xr:uid="{00000000-0005-0000-0000-000089030000}"/>
    <cellStyle name="Comma 78" xfId="2492" xr:uid="{00000000-0005-0000-0000-00008A030000}"/>
    <cellStyle name="Comma 79" xfId="2913" xr:uid="{00000000-0005-0000-0000-00008B030000}"/>
    <cellStyle name="Comma 8" xfId="751" xr:uid="{00000000-0005-0000-0000-00008C030000}"/>
    <cellStyle name="Comma 80" xfId="2069" xr:uid="{00000000-0005-0000-0000-00008D030000}"/>
    <cellStyle name="Comma 81" xfId="2915" xr:uid="{00000000-0005-0000-0000-00008E030000}"/>
    <cellStyle name="Comma 82" xfId="71" xr:uid="{00000000-0005-0000-0000-00008F030000}"/>
    <cellStyle name="Comma 83" xfId="2926" xr:uid="{00000000-0005-0000-0000-000090030000}"/>
    <cellStyle name="Comma 84" xfId="55" xr:uid="{00000000-0005-0000-0000-000091030000}"/>
    <cellStyle name="Comma 85" xfId="64" xr:uid="{00000000-0005-0000-0000-000092030000}"/>
    <cellStyle name="Comma 88" xfId="60" xr:uid="{00000000-0005-0000-0000-000093030000}"/>
    <cellStyle name="Comma 9" xfId="752" xr:uid="{00000000-0005-0000-0000-000094030000}"/>
    <cellStyle name="Comma0" xfId="753" xr:uid="{00000000-0005-0000-0000-000095030000}"/>
    <cellStyle name="Comma0 - Style2" xfId="2493" xr:uid="{00000000-0005-0000-0000-000096030000}"/>
    <cellStyle name="Comma0 - Style3" xfId="754" xr:uid="{00000000-0005-0000-0000-000097030000}"/>
    <cellStyle name="Comma0 - Style3 2" xfId="755" xr:uid="{00000000-0005-0000-0000-000098030000}"/>
    <cellStyle name="Comma0 - Style3 3" xfId="2494" xr:uid="{00000000-0005-0000-0000-000099030000}"/>
    <cellStyle name="Comma0 10" xfId="756" xr:uid="{00000000-0005-0000-0000-00009A030000}"/>
    <cellStyle name="Comma0 10 2" xfId="2495" xr:uid="{00000000-0005-0000-0000-00009B030000}"/>
    <cellStyle name="Comma0 11" xfId="757" xr:uid="{00000000-0005-0000-0000-00009C030000}"/>
    <cellStyle name="Comma0 11 2" xfId="2496" xr:uid="{00000000-0005-0000-0000-00009D030000}"/>
    <cellStyle name="Comma0 12" xfId="758" xr:uid="{00000000-0005-0000-0000-00009E030000}"/>
    <cellStyle name="Comma0 12 2" xfId="2497" xr:uid="{00000000-0005-0000-0000-00009F030000}"/>
    <cellStyle name="Comma0 13" xfId="759" xr:uid="{00000000-0005-0000-0000-0000A0030000}"/>
    <cellStyle name="Comma0 13 2" xfId="2498" xr:uid="{00000000-0005-0000-0000-0000A1030000}"/>
    <cellStyle name="Comma0 14" xfId="760" xr:uid="{00000000-0005-0000-0000-0000A2030000}"/>
    <cellStyle name="Comma0 15" xfId="761" xr:uid="{00000000-0005-0000-0000-0000A3030000}"/>
    <cellStyle name="Comma0 16" xfId="762" xr:uid="{00000000-0005-0000-0000-0000A4030000}"/>
    <cellStyle name="Comma0 17" xfId="763" xr:uid="{00000000-0005-0000-0000-0000A5030000}"/>
    <cellStyle name="Comma0 18" xfId="764" xr:uid="{00000000-0005-0000-0000-0000A6030000}"/>
    <cellStyle name="Comma0 19" xfId="765" xr:uid="{00000000-0005-0000-0000-0000A7030000}"/>
    <cellStyle name="Comma0 2" xfId="766" xr:uid="{00000000-0005-0000-0000-0000A8030000}"/>
    <cellStyle name="Comma0 2 2" xfId="767" xr:uid="{00000000-0005-0000-0000-0000A9030000}"/>
    <cellStyle name="Comma0 2 3" xfId="2499" xr:uid="{00000000-0005-0000-0000-0000AA030000}"/>
    <cellStyle name="Comma0 2 4" xfId="2500" xr:uid="{00000000-0005-0000-0000-0000AB030000}"/>
    <cellStyle name="Comma0 20" xfId="768" xr:uid="{00000000-0005-0000-0000-0000AC030000}"/>
    <cellStyle name="Comma0 21" xfId="769" xr:uid="{00000000-0005-0000-0000-0000AD030000}"/>
    <cellStyle name="Comma0 22" xfId="770" xr:uid="{00000000-0005-0000-0000-0000AE030000}"/>
    <cellStyle name="Comma0 23" xfId="771" xr:uid="{00000000-0005-0000-0000-0000AF030000}"/>
    <cellStyle name="Comma0 24" xfId="772" xr:uid="{00000000-0005-0000-0000-0000B0030000}"/>
    <cellStyle name="Comma0 25" xfId="773" xr:uid="{00000000-0005-0000-0000-0000B1030000}"/>
    <cellStyle name="Comma0 26" xfId="774" xr:uid="{00000000-0005-0000-0000-0000B2030000}"/>
    <cellStyle name="Comma0 27" xfId="775" xr:uid="{00000000-0005-0000-0000-0000B3030000}"/>
    <cellStyle name="Comma0 28" xfId="776" xr:uid="{00000000-0005-0000-0000-0000B4030000}"/>
    <cellStyle name="Comma0 29" xfId="777" xr:uid="{00000000-0005-0000-0000-0000B5030000}"/>
    <cellStyle name="Comma0 3" xfId="778" xr:uid="{00000000-0005-0000-0000-0000B6030000}"/>
    <cellStyle name="Comma0 3 2" xfId="779" xr:uid="{00000000-0005-0000-0000-0000B7030000}"/>
    <cellStyle name="Comma0 3 3" xfId="2501" xr:uid="{00000000-0005-0000-0000-0000B8030000}"/>
    <cellStyle name="Comma0 30" xfId="780" xr:uid="{00000000-0005-0000-0000-0000B9030000}"/>
    <cellStyle name="Comma0 31" xfId="781" xr:uid="{00000000-0005-0000-0000-0000BA030000}"/>
    <cellStyle name="Comma0 32" xfId="782" xr:uid="{00000000-0005-0000-0000-0000BB030000}"/>
    <cellStyle name="Comma0 33" xfId="783" xr:uid="{00000000-0005-0000-0000-0000BC030000}"/>
    <cellStyle name="Comma0 34" xfId="784" xr:uid="{00000000-0005-0000-0000-0000BD030000}"/>
    <cellStyle name="Comma0 35" xfId="785" xr:uid="{00000000-0005-0000-0000-0000BE030000}"/>
    <cellStyle name="Comma0 36" xfId="786" xr:uid="{00000000-0005-0000-0000-0000BF030000}"/>
    <cellStyle name="Comma0 37" xfId="787" xr:uid="{00000000-0005-0000-0000-0000C0030000}"/>
    <cellStyle name="Comma0 38" xfId="2502" xr:uid="{00000000-0005-0000-0000-0000C1030000}"/>
    <cellStyle name="Comma0 39" xfId="2503" xr:uid="{00000000-0005-0000-0000-0000C2030000}"/>
    <cellStyle name="Comma0 4" xfId="788" xr:uid="{00000000-0005-0000-0000-0000C3030000}"/>
    <cellStyle name="Comma0 4 2" xfId="789" xr:uid="{00000000-0005-0000-0000-0000C4030000}"/>
    <cellStyle name="Comma0 4 3" xfId="2504" xr:uid="{00000000-0005-0000-0000-0000C5030000}"/>
    <cellStyle name="Comma0 40" xfId="2505" xr:uid="{00000000-0005-0000-0000-0000C6030000}"/>
    <cellStyle name="Comma0 41" xfId="2506" xr:uid="{00000000-0005-0000-0000-0000C7030000}"/>
    <cellStyle name="Comma0 42" xfId="2507" xr:uid="{00000000-0005-0000-0000-0000C8030000}"/>
    <cellStyle name="Comma0 43" xfId="2508" xr:uid="{00000000-0005-0000-0000-0000C9030000}"/>
    <cellStyle name="Comma0 5" xfId="790" xr:uid="{00000000-0005-0000-0000-0000CA030000}"/>
    <cellStyle name="Comma0 5 2" xfId="791" xr:uid="{00000000-0005-0000-0000-0000CB030000}"/>
    <cellStyle name="Comma0 5 3" xfId="2509" xr:uid="{00000000-0005-0000-0000-0000CC030000}"/>
    <cellStyle name="Comma0 6" xfId="792" xr:uid="{00000000-0005-0000-0000-0000CD030000}"/>
    <cellStyle name="Comma0 6 2" xfId="793" xr:uid="{00000000-0005-0000-0000-0000CE030000}"/>
    <cellStyle name="Comma0 6 3" xfId="2510" xr:uid="{00000000-0005-0000-0000-0000CF030000}"/>
    <cellStyle name="Comma0 7" xfId="794" xr:uid="{00000000-0005-0000-0000-0000D0030000}"/>
    <cellStyle name="Comma0 7 2" xfId="795" xr:uid="{00000000-0005-0000-0000-0000D1030000}"/>
    <cellStyle name="Comma0 7 3" xfId="2511" xr:uid="{00000000-0005-0000-0000-0000D2030000}"/>
    <cellStyle name="Comma0 8" xfId="796" xr:uid="{00000000-0005-0000-0000-0000D3030000}"/>
    <cellStyle name="Comma0 8 2" xfId="2512" xr:uid="{00000000-0005-0000-0000-0000D4030000}"/>
    <cellStyle name="Comma0 9" xfId="797" xr:uid="{00000000-0005-0000-0000-0000D5030000}"/>
    <cellStyle name="Comma0 9 2" xfId="2513" xr:uid="{00000000-0005-0000-0000-0000D6030000}"/>
    <cellStyle name="Comma0_BG SINAWA_April 2003_revised" xfId="798" xr:uid="{00000000-0005-0000-0000-0000D7030000}"/>
    <cellStyle name="Commentaire 2" xfId="799" xr:uid="{00000000-0005-0000-0000-0000D8030000}"/>
    <cellStyle name="Commentaire 2 2" xfId="2514" xr:uid="{00000000-0005-0000-0000-0000D9030000}"/>
    <cellStyle name="Commentaire 2 3" xfId="2515" xr:uid="{00000000-0005-0000-0000-0000DA030000}"/>
    <cellStyle name="Commentaire 2 4" xfId="2161" xr:uid="{00000000-0005-0000-0000-0000DB030000}"/>
    <cellStyle name="common" xfId="2516" xr:uid="{00000000-0005-0000-0000-0000DC030000}"/>
    <cellStyle name="Curren - Style3" xfId="800" xr:uid="{00000000-0005-0000-0000-0000DD030000}"/>
    <cellStyle name="Curren - Style4" xfId="801" xr:uid="{00000000-0005-0000-0000-0000DE030000}"/>
    <cellStyle name="Currency 2" xfId="802" xr:uid="{00000000-0005-0000-0000-0000DF030000}"/>
    <cellStyle name="Currency 2 2" xfId="803" xr:uid="{00000000-0005-0000-0000-0000E0030000}"/>
    <cellStyle name="Currency 2 2 2" xfId="804" xr:uid="{00000000-0005-0000-0000-0000E1030000}"/>
    <cellStyle name="Currency 2 3" xfId="805" xr:uid="{00000000-0005-0000-0000-0000E2030000}"/>
    <cellStyle name="Currency 3" xfId="806" xr:uid="{00000000-0005-0000-0000-0000E3030000}"/>
    <cellStyle name="Currency 3 2" xfId="807" xr:uid="{00000000-0005-0000-0000-0000E4030000}"/>
    <cellStyle name="Currency 3 3" xfId="808" xr:uid="{00000000-0005-0000-0000-0000E5030000}"/>
    <cellStyle name="Currency 3 4" xfId="809" xr:uid="{00000000-0005-0000-0000-0000E6030000}"/>
    <cellStyle name="Currency 4" xfId="810" xr:uid="{00000000-0005-0000-0000-0000E7030000}"/>
    <cellStyle name="Currency0" xfId="811" xr:uid="{00000000-0005-0000-0000-0000E8030000}"/>
    <cellStyle name="Currency0 2" xfId="812" xr:uid="{00000000-0005-0000-0000-0000E9030000}"/>
    <cellStyle name="Currency0 2 2" xfId="813" xr:uid="{00000000-0005-0000-0000-0000EA030000}"/>
    <cellStyle name="Currency0 3" xfId="814" xr:uid="{00000000-0005-0000-0000-0000EB030000}"/>
    <cellStyle name="Currency0 4" xfId="815" xr:uid="{00000000-0005-0000-0000-0000EC030000}"/>
    <cellStyle name="Currency0 5" xfId="816" xr:uid="{00000000-0005-0000-0000-0000ED030000}"/>
    <cellStyle name="Currency0 6" xfId="817" xr:uid="{00000000-0005-0000-0000-0000EE030000}"/>
    <cellStyle name="Currency0 7" xfId="818" xr:uid="{00000000-0005-0000-0000-0000EF030000}"/>
    <cellStyle name="Currency0 8" xfId="819" xr:uid="{00000000-0005-0000-0000-0000F0030000}"/>
    <cellStyle name="Currency0 9" xfId="2517" xr:uid="{00000000-0005-0000-0000-0000F1030000}"/>
    <cellStyle name="Data" xfId="820" xr:uid="{00000000-0005-0000-0000-0000F2030000}"/>
    <cellStyle name="Data 10" xfId="821" xr:uid="{00000000-0005-0000-0000-0000F3030000}"/>
    <cellStyle name="Data 2" xfId="822" xr:uid="{00000000-0005-0000-0000-0000F4030000}"/>
    <cellStyle name="Data 2 2" xfId="823" xr:uid="{00000000-0005-0000-0000-0000F5030000}"/>
    <cellStyle name="Data 2 3" xfId="824" xr:uid="{00000000-0005-0000-0000-0000F6030000}"/>
    <cellStyle name="Data 2 3 2" xfId="825" xr:uid="{00000000-0005-0000-0000-0000F7030000}"/>
    <cellStyle name="Data 2 4" xfId="826" xr:uid="{00000000-0005-0000-0000-0000F8030000}"/>
    <cellStyle name="Data 2 4 2" xfId="827" xr:uid="{00000000-0005-0000-0000-0000F9030000}"/>
    <cellStyle name="Data 3" xfId="828" xr:uid="{00000000-0005-0000-0000-0000FA030000}"/>
    <cellStyle name="Data 3 2" xfId="829" xr:uid="{00000000-0005-0000-0000-0000FB030000}"/>
    <cellStyle name="Data 4" xfId="830" xr:uid="{00000000-0005-0000-0000-0000FC030000}"/>
    <cellStyle name="Data 4 2" xfId="831" xr:uid="{00000000-0005-0000-0000-0000FD030000}"/>
    <cellStyle name="Data 5" xfId="832" xr:uid="{00000000-0005-0000-0000-0000FE030000}"/>
    <cellStyle name="Data 6" xfId="833" xr:uid="{00000000-0005-0000-0000-0000FF030000}"/>
    <cellStyle name="Data 7" xfId="834" xr:uid="{00000000-0005-0000-0000-000000040000}"/>
    <cellStyle name="Data 8" xfId="835" xr:uid="{00000000-0005-0000-0000-000001040000}"/>
    <cellStyle name="Data 9" xfId="836" xr:uid="{00000000-0005-0000-0000-000002040000}"/>
    <cellStyle name="Date" xfId="73" xr:uid="{00000000-0005-0000-0000-000003040000}"/>
    <cellStyle name="Date - Style1" xfId="2518" xr:uid="{00000000-0005-0000-0000-000004040000}"/>
    <cellStyle name="Date 10" xfId="2519" xr:uid="{00000000-0005-0000-0000-000005040000}"/>
    <cellStyle name="Date 10 2" xfId="2520" xr:uid="{00000000-0005-0000-0000-000006040000}"/>
    <cellStyle name="Date 11" xfId="2521" xr:uid="{00000000-0005-0000-0000-000007040000}"/>
    <cellStyle name="Date 12" xfId="2522" xr:uid="{00000000-0005-0000-0000-000008040000}"/>
    <cellStyle name="Date 13" xfId="2523" xr:uid="{00000000-0005-0000-0000-000009040000}"/>
    <cellStyle name="Date 14" xfId="2524" xr:uid="{00000000-0005-0000-0000-00000A040000}"/>
    <cellStyle name="Date 15" xfId="2525" xr:uid="{00000000-0005-0000-0000-00000B040000}"/>
    <cellStyle name="Date 16" xfId="2526" xr:uid="{00000000-0005-0000-0000-00000C040000}"/>
    <cellStyle name="Date 17" xfId="2527" xr:uid="{00000000-0005-0000-0000-00000D040000}"/>
    <cellStyle name="Date 18" xfId="2528" xr:uid="{00000000-0005-0000-0000-00000E040000}"/>
    <cellStyle name="Date 19" xfId="2529" xr:uid="{00000000-0005-0000-0000-00000F040000}"/>
    <cellStyle name="Date 2" xfId="837" xr:uid="{00000000-0005-0000-0000-000010040000}"/>
    <cellStyle name="Date 2 2" xfId="838" xr:uid="{00000000-0005-0000-0000-000011040000}"/>
    <cellStyle name="Date 2 3" xfId="2530" xr:uid="{00000000-0005-0000-0000-000012040000}"/>
    <cellStyle name="Date 2 4" xfId="2531" xr:uid="{00000000-0005-0000-0000-000013040000}"/>
    <cellStyle name="Date 20" xfId="2117" xr:uid="{00000000-0005-0000-0000-000014040000}"/>
    <cellStyle name="Date 21" xfId="2338" xr:uid="{00000000-0005-0000-0000-000015040000}"/>
    <cellStyle name="Date 22" xfId="2919" xr:uid="{00000000-0005-0000-0000-000016040000}"/>
    <cellStyle name="Date 3" xfId="839" xr:uid="{00000000-0005-0000-0000-000017040000}"/>
    <cellStyle name="Date 3 2" xfId="2532" xr:uid="{00000000-0005-0000-0000-000018040000}"/>
    <cellStyle name="Date 4" xfId="840" xr:uid="{00000000-0005-0000-0000-000019040000}"/>
    <cellStyle name="Date 4 2" xfId="2533" xr:uid="{00000000-0005-0000-0000-00001A040000}"/>
    <cellStyle name="Date 5" xfId="841" xr:uid="{00000000-0005-0000-0000-00001B040000}"/>
    <cellStyle name="Date 5 2" xfId="2534" xr:uid="{00000000-0005-0000-0000-00001C040000}"/>
    <cellStyle name="Date 6" xfId="842" xr:uid="{00000000-0005-0000-0000-00001D040000}"/>
    <cellStyle name="Date 6 2" xfId="2535" xr:uid="{00000000-0005-0000-0000-00001E040000}"/>
    <cellStyle name="Date 7" xfId="843" xr:uid="{00000000-0005-0000-0000-00001F040000}"/>
    <cellStyle name="Date 7 2" xfId="2536" xr:uid="{00000000-0005-0000-0000-000020040000}"/>
    <cellStyle name="Date 8" xfId="844" xr:uid="{00000000-0005-0000-0000-000021040000}"/>
    <cellStyle name="Date 8 2" xfId="2537" xr:uid="{00000000-0005-0000-0000-000022040000}"/>
    <cellStyle name="Date 9" xfId="845" xr:uid="{00000000-0005-0000-0000-000023040000}"/>
    <cellStyle name="dato" xfId="2118" xr:uid="{00000000-0005-0000-0000-000024040000}"/>
    <cellStyle name="day of week" xfId="846" xr:uid="{00000000-0005-0000-0000-000025040000}"/>
    <cellStyle name="DEM" xfId="847" xr:uid="{00000000-0005-0000-0000-000026040000}"/>
    <cellStyle name="DEM 2" xfId="848" xr:uid="{00000000-0005-0000-0000-000027040000}"/>
    <cellStyle name="diskette" xfId="849" xr:uid="{00000000-0005-0000-0000-000028040000}"/>
    <cellStyle name="données" xfId="850" xr:uid="{00000000-0005-0000-0000-000029040000}"/>
    <cellStyle name="donnéesbord" xfId="851" xr:uid="{00000000-0005-0000-0000-00002A040000}"/>
    <cellStyle name="Euro" xfId="852" xr:uid="{00000000-0005-0000-0000-00002B040000}"/>
    <cellStyle name="Euro 2" xfId="853" xr:uid="{00000000-0005-0000-0000-00002C040000}"/>
    <cellStyle name="Euro 2 2" xfId="2538" xr:uid="{00000000-0005-0000-0000-00002D040000}"/>
    <cellStyle name="Euro 3" xfId="2539" xr:uid="{00000000-0005-0000-0000-00002E040000}"/>
    <cellStyle name="Euro 4" xfId="2540" xr:uid="{00000000-0005-0000-0000-00002F040000}"/>
    <cellStyle name="Excel.Chart" xfId="2541" xr:uid="{00000000-0005-0000-0000-000030040000}"/>
    <cellStyle name="Explanatory Text" xfId="25" builtinId="53" customBuiltin="1"/>
    <cellStyle name="Explanatory Text 10" xfId="854" xr:uid="{00000000-0005-0000-0000-000032040000}"/>
    <cellStyle name="Explanatory Text 2" xfId="855" xr:uid="{00000000-0005-0000-0000-000033040000}"/>
    <cellStyle name="Explanatory Text 2 2" xfId="856" xr:uid="{00000000-0005-0000-0000-000034040000}"/>
    <cellStyle name="Explanatory Text 3" xfId="857" xr:uid="{00000000-0005-0000-0000-000035040000}"/>
    <cellStyle name="Explanatory Text 3 2" xfId="858" xr:uid="{00000000-0005-0000-0000-000036040000}"/>
    <cellStyle name="Explanatory Text 4" xfId="859" xr:uid="{00000000-0005-0000-0000-000037040000}"/>
    <cellStyle name="Explanatory Text 4 2" xfId="860" xr:uid="{00000000-0005-0000-0000-000038040000}"/>
    <cellStyle name="Explanatory Text 5" xfId="861" xr:uid="{00000000-0005-0000-0000-000039040000}"/>
    <cellStyle name="Explanatory Text 5 2" xfId="862" xr:uid="{00000000-0005-0000-0000-00003A040000}"/>
    <cellStyle name="Explanatory Text 6" xfId="863" xr:uid="{00000000-0005-0000-0000-00003B040000}"/>
    <cellStyle name="Explanatory Text 6 2" xfId="864" xr:uid="{00000000-0005-0000-0000-00003C040000}"/>
    <cellStyle name="Explanatory Text 7" xfId="865" xr:uid="{00000000-0005-0000-0000-00003D040000}"/>
    <cellStyle name="Explanatory Text 7 2" xfId="866" xr:uid="{00000000-0005-0000-0000-00003E040000}"/>
    <cellStyle name="Explanatory Text 8" xfId="867" xr:uid="{00000000-0005-0000-0000-00003F040000}"/>
    <cellStyle name="Explanatory Text 8 2" xfId="868" xr:uid="{00000000-0005-0000-0000-000040040000}"/>
    <cellStyle name="Explanatory Text 9" xfId="869" xr:uid="{00000000-0005-0000-0000-000041040000}"/>
    <cellStyle name="Explanatory Text 9 2" xfId="870" xr:uid="{00000000-0005-0000-0000-000042040000}"/>
    <cellStyle name="F2" xfId="871" xr:uid="{00000000-0005-0000-0000-000043040000}"/>
    <cellStyle name="F2 2" xfId="2119" xr:uid="{00000000-0005-0000-0000-000044040000}"/>
    <cellStyle name="F3" xfId="872" xr:uid="{00000000-0005-0000-0000-000045040000}"/>
    <cellStyle name="F3 2" xfId="2120" xr:uid="{00000000-0005-0000-0000-000046040000}"/>
    <cellStyle name="F4" xfId="873" xr:uid="{00000000-0005-0000-0000-000047040000}"/>
    <cellStyle name="F4 2" xfId="2121" xr:uid="{00000000-0005-0000-0000-000048040000}"/>
    <cellStyle name="F5" xfId="874" xr:uid="{00000000-0005-0000-0000-000049040000}"/>
    <cellStyle name="F5 2" xfId="2122" xr:uid="{00000000-0005-0000-0000-00004A040000}"/>
    <cellStyle name="F6" xfId="875" xr:uid="{00000000-0005-0000-0000-00004B040000}"/>
    <cellStyle name="F6 2" xfId="2123" xr:uid="{00000000-0005-0000-0000-00004C040000}"/>
    <cellStyle name="F7" xfId="876" xr:uid="{00000000-0005-0000-0000-00004D040000}"/>
    <cellStyle name="F7 2" xfId="2124" xr:uid="{00000000-0005-0000-0000-00004E040000}"/>
    <cellStyle name="F8" xfId="877" xr:uid="{00000000-0005-0000-0000-00004F040000}"/>
    <cellStyle name="F8 2" xfId="2125" xr:uid="{00000000-0005-0000-0000-000050040000}"/>
    <cellStyle name="financniO" xfId="878" xr:uid="{00000000-0005-0000-0000-000051040000}"/>
    <cellStyle name="Fixed" xfId="74" xr:uid="{00000000-0005-0000-0000-000052040000}"/>
    <cellStyle name="Fixed 2" xfId="879" xr:uid="{00000000-0005-0000-0000-000053040000}"/>
    <cellStyle name="Fixed 2 2" xfId="880" xr:uid="{00000000-0005-0000-0000-000054040000}"/>
    <cellStyle name="Fixed 3" xfId="881" xr:uid="{00000000-0005-0000-0000-000055040000}"/>
    <cellStyle name="Fixed 4" xfId="882" xr:uid="{00000000-0005-0000-0000-000056040000}"/>
    <cellStyle name="Fixed 5" xfId="883" xr:uid="{00000000-0005-0000-0000-000057040000}"/>
    <cellStyle name="Fixed 6" xfId="884" xr:uid="{00000000-0005-0000-0000-000058040000}"/>
    <cellStyle name="Fixed 7" xfId="885" xr:uid="{00000000-0005-0000-0000-000059040000}"/>
    <cellStyle name="Fixed 8" xfId="886" xr:uid="{00000000-0005-0000-0000-00005A040000}"/>
    <cellStyle name="Fixed 9" xfId="2126" xr:uid="{00000000-0005-0000-0000-00005B040000}"/>
    <cellStyle name="fixed0 - Style4" xfId="887" xr:uid="{00000000-0005-0000-0000-00005C040000}"/>
    <cellStyle name="fixed0 - Style4 2" xfId="888" xr:uid="{00000000-0005-0000-0000-00005D040000}"/>
    <cellStyle name="Fixed2 - Style2" xfId="889" xr:uid="{00000000-0005-0000-0000-00005E040000}"/>
    <cellStyle name="Fixed2 - Style2 2" xfId="890" xr:uid="{00000000-0005-0000-0000-00005F040000}"/>
    <cellStyle name="Fixed2 - Style2 3" xfId="2542" xr:uid="{00000000-0005-0000-0000-000060040000}"/>
    <cellStyle name="Fixo" xfId="891" xr:uid="{00000000-0005-0000-0000-000061040000}"/>
    <cellStyle name="Footnote" xfId="892" xr:uid="{00000000-0005-0000-0000-000062040000}"/>
    <cellStyle name="Fuss" xfId="893" xr:uid="{00000000-0005-0000-0000-000063040000}"/>
    <cellStyle name="Fuss 2" xfId="894" xr:uid="{00000000-0005-0000-0000-000064040000}"/>
    <cellStyle name="Fuss 3" xfId="895" xr:uid="{00000000-0005-0000-0000-000065040000}"/>
    <cellStyle name="Good" xfId="16" builtinId="26" customBuiltin="1"/>
    <cellStyle name="Good 10" xfId="896" xr:uid="{00000000-0005-0000-0000-000067040000}"/>
    <cellStyle name="Good 2" xfId="897" xr:uid="{00000000-0005-0000-0000-000068040000}"/>
    <cellStyle name="Good 2 2" xfId="898" xr:uid="{00000000-0005-0000-0000-000069040000}"/>
    <cellStyle name="Good 3" xfId="899" xr:uid="{00000000-0005-0000-0000-00006A040000}"/>
    <cellStyle name="Good 3 2" xfId="900" xr:uid="{00000000-0005-0000-0000-00006B040000}"/>
    <cellStyle name="Good 4" xfId="901" xr:uid="{00000000-0005-0000-0000-00006C040000}"/>
    <cellStyle name="Good 4 2" xfId="902" xr:uid="{00000000-0005-0000-0000-00006D040000}"/>
    <cellStyle name="Good 5" xfId="903" xr:uid="{00000000-0005-0000-0000-00006E040000}"/>
    <cellStyle name="Good 5 2" xfId="904" xr:uid="{00000000-0005-0000-0000-00006F040000}"/>
    <cellStyle name="Good 6" xfId="905" xr:uid="{00000000-0005-0000-0000-000070040000}"/>
    <cellStyle name="Good 6 2" xfId="906" xr:uid="{00000000-0005-0000-0000-000071040000}"/>
    <cellStyle name="Good 7" xfId="907" xr:uid="{00000000-0005-0000-0000-000072040000}"/>
    <cellStyle name="Good 7 2" xfId="908" xr:uid="{00000000-0005-0000-0000-000073040000}"/>
    <cellStyle name="Good 8" xfId="909" xr:uid="{00000000-0005-0000-0000-000074040000}"/>
    <cellStyle name="Good 8 2" xfId="910" xr:uid="{00000000-0005-0000-0000-000075040000}"/>
    <cellStyle name="Good 9" xfId="911" xr:uid="{00000000-0005-0000-0000-000076040000}"/>
    <cellStyle name="Good 9 2" xfId="912" xr:uid="{00000000-0005-0000-0000-000077040000}"/>
    <cellStyle name="GOVDATA" xfId="913" xr:uid="{00000000-0005-0000-0000-000078040000}"/>
    <cellStyle name="Grey" xfId="914" xr:uid="{00000000-0005-0000-0000-000079040000}"/>
    <cellStyle name="Header style" xfId="915" xr:uid="{00000000-0005-0000-0000-00007A040000}"/>
    <cellStyle name="Header style 2" xfId="916" xr:uid="{00000000-0005-0000-0000-00007B040000}"/>
    <cellStyle name="Header1" xfId="917" xr:uid="{00000000-0005-0000-0000-00007C040000}"/>
    <cellStyle name="Header2" xfId="918" xr:uid="{00000000-0005-0000-0000-00007D040000}"/>
    <cellStyle name="Heading 1" xfId="12" builtinId="16" customBuiltin="1"/>
    <cellStyle name="Heading 1 10" xfId="919" xr:uid="{00000000-0005-0000-0000-00007F040000}"/>
    <cellStyle name="Heading 1 11" xfId="920" xr:uid="{00000000-0005-0000-0000-000080040000}"/>
    <cellStyle name="Heading 1 12" xfId="921" xr:uid="{00000000-0005-0000-0000-000081040000}"/>
    <cellStyle name="Heading 1 13" xfId="922" xr:uid="{00000000-0005-0000-0000-000082040000}"/>
    <cellStyle name="Heading 1 14" xfId="923" xr:uid="{00000000-0005-0000-0000-000083040000}"/>
    <cellStyle name="Heading 1 15" xfId="924" xr:uid="{00000000-0005-0000-0000-000084040000}"/>
    <cellStyle name="Heading 1 16" xfId="925" xr:uid="{00000000-0005-0000-0000-000085040000}"/>
    <cellStyle name="Heading 1 17" xfId="2543" xr:uid="{00000000-0005-0000-0000-000086040000}"/>
    <cellStyle name="Heading 1 2" xfId="926" xr:uid="{00000000-0005-0000-0000-000087040000}"/>
    <cellStyle name="Heading 1 2 2" xfId="927" xr:uid="{00000000-0005-0000-0000-000088040000}"/>
    <cellStyle name="Heading 1 3" xfId="928" xr:uid="{00000000-0005-0000-0000-000089040000}"/>
    <cellStyle name="Heading 1 3 2" xfId="929" xr:uid="{00000000-0005-0000-0000-00008A040000}"/>
    <cellStyle name="Heading 1 4" xfId="930" xr:uid="{00000000-0005-0000-0000-00008B040000}"/>
    <cellStyle name="Heading 1 4 2" xfId="931" xr:uid="{00000000-0005-0000-0000-00008C040000}"/>
    <cellStyle name="Heading 1 5" xfId="932" xr:uid="{00000000-0005-0000-0000-00008D040000}"/>
    <cellStyle name="Heading 1 5 2" xfId="933" xr:uid="{00000000-0005-0000-0000-00008E040000}"/>
    <cellStyle name="Heading 1 6" xfId="934" xr:uid="{00000000-0005-0000-0000-00008F040000}"/>
    <cellStyle name="Heading 1 6 2" xfId="935" xr:uid="{00000000-0005-0000-0000-000090040000}"/>
    <cellStyle name="Heading 1 7" xfId="936" xr:uid="{00000000-0005-0000-0000-000091040000}"/>
    <cellStyle name="Heading 1 7 2" xfId="937" xr:uid="{00000000-0005-0000-0000-000092040000}"/>
    <cellStyle name="Heading 1 8" xfId="938" xr:uid="{00000000-0005-0000-0000-000093040000}"/>
    <cellStyle name="Heading 1 8 2" xfId="939" xr:uid="{00000000-0005-0000-0000-000094040000}"/>
    <cellStyle name="Heading 1 9" xfId="940" xr:uid="{00000000-0005-0000-0000-000095040000}"/>
    <cellStyle name="Heading 1 9 2" xfId="941" xr:uid="{00000000-0005-0000-0000-000096040000}"/>
    <cellStyle name="Heading 2" xfId="13" builtinId="17" customBuiltin="1"/>
    <cellStyle name="Heading 2 10" xfId="942" xr:uid="{00000000-0005-0000-0000-000098040000}"/>
    <cellStyle name="Heading 2 11" xfId="943" xr:uid="{00000000-0005-0000-0000-000099040000}"/>
    <cellStyle name="Heading 2 12" xfId="944" xr:uid="{00000000-0005-0000-0000-00009A040000}"/>
    <cellStyle name="Heading 2 13" xfId="945" xr:uid="{00000000-0005-0000-0000-00009B040000}"/>
    <cellStyle name="Heading 2 14" xfId="946" xr:uid="{00000000-0005-0000-0000-00009C040000}"/>
    <cellStyle name="Heading 2 15" xfId="947" xr:uid="{00000000-0005-0000-0000-00009D040000}"/>
    <cellStyle name="Heading 2 16" xfId="948" xr:uid="{00000000-0005-0000-0000-00009E040000}"/>
    <cellStyle name="Heading 2 2" xfId="949" xr:uid="{00000000-0005-0000-0000-00009F040000}"/>
    <cellStyle name="Heading 2 2 2" xfId="950" xr:uid="{00000000-0005-0000-0000-0000A0040000}"/>
    <cellStyle name="Heading 2 2 3" xfId="951" xr:uid="{00000000-0005-0000-0000-0000A1040000}"/>
    <cellStyle name="Heading 2 3" xfId="952" xr:uid="{00000000-0005-0000-0000-0000A2040000}"/>
    <cellStyle name="Heading 2 3 2" xfId="953" xr:uid="{00000000-0005-0000-0000-0000A3040000}"/>
    <cellStyle name="Heading 2 4" xfId="954" xr:uid="{00000000-0005-0000-0000-0000A4040000}"/>
    <cellStyle name="Heading 2 4 2" xfId="955" xr:uid="{00000000-0005-0000-0000-0000A5040000}"/>
    <cellStyle name="Heading 2 5" xfId="956" xr:uid="{00000000-0005-0000-0000-0000A6040000}"/>
    <cellStyle name="Heading 2 5 2" xfId="957" xr:uid="{00000000-0005-0000-0000-0000A7040000}"/>
    <cellStyle name="Heading 2 6" xfId="958" xr:uid="{00000000-0005-0000-0000-0000A8040000}"/>
    <cellStyle name="Heading 2 6 2" xfId="959" xr:uid="{00000000-0005-0000-0000-0000A9040000}"/>
    <cellStyle name="Heading 2 7" xfId="960" xr:uid="{00000000-0005-0000-0000-0000AA040000}"/>
    <cellStyle name="Heading 2 7 2" xfId="961" xr:uid="{00000000-0005-0000-0000-0000AB040000}"/>
    <cellStyle name="Heading 2 8" xfId="962" xr:uid="{00000000-0005-0000-0000-0000AC040000}"/>
    <cellStyle name="Heading 2 8 2" xfId="963" xr:uid="{00000000-0005-0000-0000-0000AD040000}"/>
    <cellStyle name="Heading 2 9" xfId="964" xr:uid="{00000000-0005-0000-0000-0000AE040000}"/>
    <cellStyle name="Heading 2 9 2" xfId="965" xr:uid="{00000000-0005-0000-0000-0000AF040000}"/>
    <cellStyle name="Heading 3" xfId="14" builtinId="18" customBuiltin="1"/>
    <cellStyle name="Heading 3 10" xfId="966" xr:uid="{00000000-0005-0000-0000-0000B1040000}"/>
    <cellStyle name="Heading 3 2" xfId="967" xr:uid="{00000000-0005-0000-0000-0000B2040000}"/>
    <cellStyle name="Heading 3 2 2" xfId="968" xr:uid="{00000000-0005-0000-0000-0000B3040000}"/>
    <cellStyle name="Heading 3 3" xfId="969" xr:uid="{00000000-0005-0000-0000-0000B4040000}"/>
    <cellStyle name="Heading 3 3 2" xfId="970" xr:uid="{00000000-0005-0000-0000-0000B5040000}"/>
    <cellStyle name="Heading 3 4" xfId="971" xr:uid="{00000000-0005-0000-0000-0000B6040000}"/>
    <cellStyle name="Heading 3 4 2" xfId="972" xr:uid="{00000000-0005-0000-0000-0000B7040000}"/>
    <cellStyle name="Heading 3 5" xfId="973" xr:uid="{00000000-0005-0000-0000-0000B8040000}"/>
    <cellStyle name="Heading 3 5 2" xfId="974" xr:uid="{00000000-0005-0000-0000-0000B9040000}"/>
    <cellStyle name="Heading 3 6" xfId="975" xr:uid="{00000000-0005-0000-0000-0000BA040000}"/>
    <cellStyle name="Heading 3 6 2" xfId="976" xr:uid="{00000000-0005-0000-0000-0000BB040000}"/>
    <cellStyle name="Heading 3 7" xfId="977" xr:uid="{00000000-0005-0000-0000-0000BC040000}"/>
    <cellStyle name="Heading 3 7 2" xfId="978" xr:uid="{00000000-0005-0000-0000-0000BD040000}"/>
    <cellStyle name="Heading 3 8" xfId="979" xr:uid="{00000000-0005-0000-0000-0000BE040000}"/>
    <cellStyle name="Heading 3 8 2" xfId="980" xr:uid="{00000000-0005-0000-0000-0000BF040000}"/>
    <cellStyle name="Heading 3 9" xfId="981" xr:uid="{00000000-0005-0000-0000-0000C0040000}"/>
    <cellStyle name="Heading 3 9 2" xfId="982" xr:uid="{00000000-0005-0000-0000-0000C1040000}"/>
    <cellStyle name="Heading 4" xfId="15" builtinId="19" customBuiltin="1"/>
    <cellStyle name="Heading 4 10" xfId="983" xr:uid="{00000000-0005-0000-0000-0000C3040000}"/>
    <cellStyle name="Heading 4 2" xfId="984" xr:uid="{00000000-0005-0000-0000-0000C4040000}"/>
    <cellStyle name="Heading 4 2 2" xfId="985" xr:uid="{00000000-0005-0000-0000-0000C5040000}"/>
    <cellStyle name="Heading 4 3" xfId="986" xr:uid="{00000000-0005-0000-0000-0000C6040000}"/>
    <cellStyle name="Heading 4 3 2" xfId="987" xr:uid="{00000000-0005-0000-0000-0000C7040000}"/>
    <cellStyle name="Heading 4 4" xfId="988" xr:uid="{00000000-0005-0000-0000-0000C8040000}"/>
    <cellStyle name="Heading 4 4 2" xfId="989" xr:uid="{00000000-0005-0000-0000-0000C9040000}"/>
    <cellStyle name="Heading 4 5" xfId="990" xr:uid="{00000000-0005-0000-0000-0000CA040000}"/>
    <cellStyle name="Heading 4 5 2" xfId="991" xr:uid="{00000000-0005-0000-0000-0000CB040000}"/>
    <cellStyle name="Heading 4 6" xfId="992" xr:uid="{00000000-0005-0000-0000-0000CC040000}"/>
    <cellStyle name="Heading 4 6 2" xfId="993" xr:uid="{00000000-0005-0000-0000-0000CD040000}"/>
    <cellStyle name="Heading 4 7" xfId="994" xr:uid="{00000000-0005-0000-0000-0000CE040000}"/>
    <cellStyle name="Heading 4 7 2" xfId="995" xr:uid="{00000000-0005-0000-0000-0000CF040000}"/>
    <cellStyle name="Heading 4 8" xfId="996" xr:uid="{00000000-0005-0000-0000-0000D0040000}"/>
    <cellStyle name="Heading 4 8 2" xfId="997" xr:uid="{00000000-0005-0000-0000-0000D1040000}"/>
    <cellStyle name="Heading 4 9" xfId="998" xr:uid="{00000000-0005-0000-0000-0000D2040000}"/>
    <cellStyle name="Heading 4 9 2" xfId="999" xr:uid="{00000000-0005-0000-0000-0000D3040000}"/>
    <cellStyle name="Heading1" xfId="75" xr:uid="{00000000-0005-0000-0000-0000D4040000}"/>
    <cellStyle name="HEADING1 10" xfId="2918" xr:uid="{00000000-0005-0000-0000-0000D5040000}"/>
    <cellStyle name="Heading1 2" xfId="2544" xr:uid="{00000000-0005-0000-0000-0000D6040000}"/>
    <cellStyle name="HEADING1 2 2" xfId="2545" xr:uid="{00000000-0005-0000-0000-0000D7040000}"/>
    <cellStyle name="Heading1 3" xfId="2546" xr:uid="{00000000-0005-0000-0000-0000D8040000}"/>
    <cellStyle name="Heading1 4" xfId="2547" xr:uid="{00000000-0005-0000-0000-0000D9040000}"/>
    <cellStyle name="Heading1 5" xfId="2548" xr:uid="{00000000-0005-0000-0000-0000DA040000}"/>
    <cellStyle name="Heading1 6" xfId="2549" xr:uid="{00000000-0005-0000-0000-0000DB040000}"/>
    <cellStyle name="Heading1 7" xfId="2550" xr:uid="{00000000-0005-0000-0000-0000DC040000}"/>
    <cellStyle name="HEADING1 8" xfId="2127" xr:uid="{00000000-0005-0000-0000-0000DD040000}"/>
    <cellStyle name="HEADING1 9" xfId="2337" xr:uid="{00000000-0005-0000-0000-0000DE040000}"/>
    <cellStyle name="Heading2" xfId="76" xr:uid="{00000000-0005-0000-0000-0000DF040000}"/>
    <cellStyle name="HEADING2 10" xfId="2917" xr:uid="{00000000-0005-0000-0000-0000E0040000}"/>
    <cellStyle name="Heading2 2" xfId="2551" xr:uid="{00000000-0005-0000-0000-0000E1040000}"/>
    <cellStyle name="HEADING2 2 2" xfId="2552" xr:uid="{00000000-0005-0000-0000-0000E2040000}"/>
    <cellStyle name="Heading2 3" xfId="2553" xr:uid="{00000000-0005-0000-0000-0000E3040000}"/>
    <cellStyle name="Heading2 4" xfId="2554" xr:uid="{00000000-0005-0000-0000-0000E4040000}"/>
    <cellStyle name="Heading2 5" xfId="2555" xr:uid="{00000000-0005-0000-0000-0000E5040000}"/>
    <cellStyle name="Heading2 6" xfId="2556" xr:uid="{00000000-0005-0000-0000-0000E6040000}"/>
    <cellStyle name="Heading2 7" xfId="2557" xr:uid="{00000000-0005-0000-0000-0000E7040000}"/>
    <cellStyle name="HEADING2 8" xfId="2128" xr:uid="{00000000-0005-0000-0000-0000E8040000}"/>
    <cellStyle name="HEADING2 9" xfId="2336" xr:uid="{00000000-0005-0000-0000-0000E9040000}"/>
    <cellStyle name="Hiperhivatkozás" xfId="1000" xr:uid="{00000000-0005-0000-0000-0000EA040000}"/>
    <cellStyle name="Hiperhivatkozás 2" xfId="1001" xr:uid="{00000000-0005-0000-0000-0000EB040000}"/>
    <cellStyle name="Hipervínculo" xfId="2558" xr:uid="{00000000-0005-0000-0000-0000EC040000}"/>
    <cellStyle name="Hipervínculo visitado" xfId="2559" xr:uid="{00000000-0005-0000-0000-0000ED040000}"/>
    <cellStyle name="Hipervínculo_IIF" xfId="1002" xr:uid="{00000000-0005-0000-0000-0000EE040000}"/>
    <cellStyle name="Hyperlink 2" xfId="1003" xr:uid="{00000000-0005-0000-0000-0000EF040000}"/>
    <cellStyle name="Hyperlink 2 2" xfId="1004" xr:uid="{00000000-0005-0000-0000-0000F0040000}"/>
    <cellStyle name="Hyperlink 2 2 2" xfId="1005" xr:uid="{00000000-0005-0000-0000-0000F1040000}"/>
    <cellStyle name="Hyperlink 2 2 2 2" xfId="1006" xr:uid="{00000000-0005-0000-0000-0000F2040000}"/>
    <cellStyle name="Hyperlink 2 2 3" xfId="1007" xr:uid="{00000000-0005-0000-0000-0000F3040000}"/>
    <cellStyle name="Hyperlink 2 2 3 2" xfId="1008" xr:uid="{00000000-0005-0000-0000-0000F4040000}"/>
    <cellStyle name="Hyperlink 2 2 4" xfId="1009" xr:uid="{00000000-0005-0000-0000-0000F5040000}"/>
    <cellStyle name="Hyperlink 2 2 5" xfId="1010" xr:uid="{00000000-0005-0000-0000-0000F6040000}"/>
    <cellStyle name="Hyperlink 2 3" xfId="1011" xr:uid="{00000000-0005-0000-0000-0000F7040000}"/>
    <cellStyle name="Hyperlink 2 3 2" xfId="1012" xr:uid="{00000000-0005-0000-0000-0000F8040000}"/>
    <cellStyle name="Hyperlink 2 4" xfId="1013" xr:uid="{00000000-0005-0000-0000-0000F9040000}"/>
    <cellStyle name="Hyperlink 2 5" xfId="1014" xr:uid="{00000000-0005-0000-0000-0000FA040000}"/>
    <cellStyle name="Hyperlink 2 6" xfId="2560" xr:uid="{00000000-0005-0000-0000-0000FB040000}"/>
    <cellStyle name="Hyperlink 3" xfId="1015" xr:uid="{00000000-0005-0000-0000-0000FC040000}"/>
    <cellStyle name="Hyperlink 3 2" xfId="1016" xr:uid="{00000000-0005-0000-0000-0000FD040000}"/>
    <cellStyle name="Hyperlink 3 2 2" xfId="1017" xr:uid="{00000000-0005-0000-0000-0000FE040000}"/>
    <cellStyle name="Hyperlink 3 3" xfId="1018" xr:uid="{00000000-0005-0000-0000-0000FF040000}"/>
    <cellStyle name="Hyperlink 3 3 2" xfId="1019" xr:uid="{00000000-0005-0000-0000-000000050000}"/>
    <cellStyle name="Hyperlink 3 4" xfId="1020" xr:uid="{00000000-0005-0000-0000-000001050000}"/>
    <cellStyle name="Hyperlink 4" xfId="1021" xr:uid="{00000000-0005-0000-0000-000002050000}"/>
    <cellStyle name="Hyperlink 4 2" xfId="1022" xr:uid="{00000000-0005-0000-0000-000003050000}"/>
    <cellStyle name="Hyperlink 5" xfId="92" xr:uid="{00000000-0005-0000-0000-000004050000}"/>
    <cellStyle name="Hyperlink 6" xfId="2912" xr:uid="{00000000-0005-0000-0000-000005050000}"/>
    <cellStyle name="Hyperlink 7" xfId="91" xr:uid="{00000000-0005-0000-0000-000006050000}"/>
    <cellStyle name="Hyperlink seguido_NFGC_SPE_1995_2003" xfId="1023" xr:uid="{00000000-0005-0000-0000-000007050000}"/>
    <cellStyle name="Îáû÷íûé_ÐÎÌÀÍ--Ø-8" xfId="2129" xr:uid="{00000000-0005-0000-0000-000008050000}"/>
    <cellStyle name="imf-one decimal" xfId="1024" xr:uid="{00000000-0005-0000-0000-000009050000}"/>
    <cellStyle name="imf-one decimal 2" xfId="1025" xr:uid="{00000000-0005-0000-0000-00000A050000}"/>
    <cellStyle name="imf-one decimal 3" xfId="2561" xr:uid="{00000000-0005-0000-0000-00000B050000}"/>
    <cellStyle name="imf-one decimal 4" xfId="2130" xr:uid="{00000000-0005-0000-0000-00000C050000}"/>
    <cellStyle name="imf-zero decimal" xfId="1026" xr:uid="{00000000-0005-0000-0000-00000D050000}"/>
    <cellStyle name="imf-zero decimal 2" xfId="1027" xr:uid="{00000000-0005-0000-0000-00000E050000}"/>
    <cellStyle name="imf-zero decimal 3" xfId="2562" xr:uid="{00000000-0005-0000-0000-00000F050000}"/>
    <cellStyle name="imf-zero decimal 4" xfId="2131" xr:uid="{00000000-0005-0000-0000-000010050000}"/>
    <cellStyle name="Input" xfId="19" builtinId="20" customBuiltin="1"/>
    <cellStyle name="Input [yellow]" xfId="1028" xr:uid="{00000000-0005-0000-0000-000012050000}"/>
    <cellStyle name="Input [yellow] 2" xfId="2563" xr:uid="{00000000-0005-0000-0000-000013050000}"/>
    <cellStyle name="Input [yellow] 3" xfId="2564" xr:uid="{00000000-0005-0000-0000-000014050000}"/>
    <cellStyle name="Input 10" xfId="1029" xr:uid="{00000000-0005-0000-0000-000015050000}"/>
    <cellStyle name="Input 10 2" xfId="1030" xr:uid="{00000000-0005-0000-0000-000016050000}"/>
    <cellStyle name="Input 11" xfId="1031" xr:uid="{00000000-0005-0000-0000-000017050000}"/>
    <cellStyle name="Input 11 2" xfId="1032" xr:uid="{00000000-0005-0000-0000-000018050000}"/>
    <cellStyle name="Input 12" xfId="1033" xr:uid="{00000000-0005-0000-0000-000019050000}"/>
    <cellStyle name="Input 12 2" xfId="1034" xr:uid="{00000000-0005-0000-0000-00001A050000}"/>
    <cellStyle name="Input 13" xfId="1035" xr:uid="{00000000-0005-0000-0000-00001B050000}"/>
    <cellStyle name="Input 13 2" xfId="1036" xr:uid="{00000000-0005-0000-0000-00001C050000}"/>
    <cellStyle name="Input 14" xfId="1037" xr:uid="{00000000-0005-0000-0000-00001D050000}"/>
    <cellStyle name="Input 14 2" xfId="1038" xr:uid="{00000000-0005-0000-0000-00001E050000}"/>
    <cellStyle name="Input 15" xfId="1039" xr:uid="{00000000-0005-0000-0000-00001F050000}"/>
    <cellStyle name="Input 15 2" xfId="1040" xr:uid="{00000000-0005-0000-0000-000020050000}"/>
    <cellStyle name="Input 16" xfId="1041" xr:uid="{00000000-0005-0000-0000-000021050000}"/>
    <cellStyle name="Input 16 2" xfId="1042" xr:uid="{00000000-0005-0000-0000-000022050000}"/>
    <cellStyle name="Input 17" xfId="1043" xr:uid="{00000000-0005-0000-0000-000023050000}"/>
    <cellStyle name="Input 17 2" xfId="1044" xr:uid="{00000000-0005-0000-0000-000024050000}"/>
    <cellStyle name="Input 18" xfId="1045" xr:uid="{00000000-0005-0000-0000-000025050000}"/>
    <cellStyle name="Input 19" xfId="1046" xr:uid="{00000000-0005-0000-0000-000026050000}"/>
    <cellStyle name="Input 2" xfId="1047" xr:uid="{00000000-0005-0000-0000-000027050000}"/>
    <cellStyle name="Input 2 2" xfId="1048" xr:uid="{00000000-0005-0000-0000-000028050000}"/>
    <cellStyle name="Input 3" xfId="1049" xr:uid="{00000000-0005-0000-0000-000029050000}"/>
    <cellStyle name="Input 3 2" xfId="1050" xr:uid="{00000000-0005-0000-0000-00002A050000}"/>
    <cellStyle name="Input 4" xfId="1051" xr:uid="{00000000-0005-0000-0000-00002B050000}"/>
    <cellStyle name="Input 4 2" xfId="1052" xr:uid="{00000000-0005-0000-0000-00002C050000}"/>
    <cellStyle name="Input 5" xfId="1053" xr:uid="{00000000-0005-0000-0000-00002D050000}"/>
    <cellStyle name="Input 5 2" xfId="1054" xr:uid="{00000000-0005-0000-0000-00002E050000}"/>
    <cellStyle name="Input 6" xfId="1055" xr:uid="{00000000-0005-0000-0000-00002F050000}"/>
    <cellStyle name="Input 6 2" xfId="1056" xr:uid="{00000000-0005-0000-0000-000030050000}"/>
    <cellStyle name="Input 7" xfId="1057" xr:uid="{00000000-0005-0000-0000-000031050000}"/>
    <cellStyle name="Input 7 2" xfId="1058" xr:uid="{00000000-0005-0000-0000-000032050000}"/>
    <cellStyle name="Input 8" xfId="1059" xr:uid="{00000000-0005-0000-0000-000033050000}"/>
    <cellStyle name="Input 8 2" xfId="1060" xr:uid="{00000000-0005-0000-0000-000034050000}"/>
    <cellStyle name="Input 9" xfId="1061" xr:uid="{00000000-0005-0000-0000-000035050000}"/>
    <cellStyle name="Input 9 2" xfId="1062" xr:uid="{00000000-0005-0000-0000-000036050000}"/>
    <cellStyle name="JPY" xfId="1063" xr:uid="{00000000-0005-0000-0000-000037050000}"/>
    <cellStyle name="JPY 2" xfId="1064" xr:uid="{00000000-0005-0000-0000-000038050000}"/>
    <cellStyle name="Lien hypertexte" xfId="1065" xr:uid="{00000000-0005-0000-0000-000039050000}"/>
    <cellStyle name="Lien hypertexte visité" xfId="1066" xr:uid="{00000000-0005-0000-0000-00003A050000}"/>
    <cellStyle name="Lien hypertexte_CivMon" xfId="1067" xr:uid="{00000000-0005-0000-0000-00003B050000}"/>
    <cellStyle name="Linked Cell" xfId="22" builtinId="24" customBuiltin="1"/>
    <cellStyle name="Linked Cell 10" xfId="1068" xr:uid="{00000000-0005-0000-0000-00003D050000}"/>
    <cellStyle name="Linked Cell 2" xfId="1069" xr:uid="{00000000-0005-0000-0000-00003E050000}"/>
    <cellStyle name="Linked Cell 2 2" xfId="1070" xr:uid="{00000000-0005-0000-0000-00003F050000}"/>
    <cellStyle name="Linked Cell 3" xfId="1071" xr:uid="{00000000-0005-0000-0000-000040050000}"/>
    <cellStyle name="Linked Cell 3 2" xfId="1072" xr:uid="{00000000-0005-0000-0000-000041050000}"/>
    <cellStyle name="Linked Cell 4" xfId="1073" xr:uid="{00000000-0005-0000-0000-000042050000}"/>
    <cellStyle name="Linked Cell 4 2" xfId="1074" xr:uid="{00000000-0005-0000-0000-000043050000}"/>
    <cellStyle name="Linked Cell 5" xfId="1075" xr:uid="{00000000-0005-0000-0000-000044050000}"/>
    <cellStyle name="Linked Cell 5 2" xfId="1076" xr:uid="{00000000-0005-0000-0000-000045050000}"/>
    <cellStyle name="Linked Cell 6" xfId="1077" xr:uid="{00000000-0005-0000-0000-000046050000}"/>
    <cellStyle name="Linked Cell 6 2" xfId="1078" xr:uid="{00000000-0005-0000-0000-000047050000}"/>
    <cellStyle name="Linked Cell 7" xfId="1079" xr:uid="{00000000-0005-0000-0000-000048050000}"/>
    <cellStyle name="Linked Cell 7 2" xfId="1080" xr:uid="{00000000-0005-0000-0000-000049050000}"/>
    <cellStyle name="Linked Cell 8" xfId="1081" xr:uid="{00000000-0005-0000-0000-00004A050000}"/>
    <cellStyle name="Linked Cell 8 2" xfId="1082" xr:uid="{00000000-0005-0000-0000-00004B050000}"/>
    <cellStyle name="Linked Cell 9" xfId="1083" xr:uid="{00000000-0005-0000-0000-00004C050000}"/>
    <cellStyle name="Linked Cell 9 2" xfId="1084" xr:uid="{00000000-0005-0000-0000-00004D050000}"/>
    <cellStyle name="MacroCode" xfId="1085" xr:uid="{00000000-0005-0000-0000-00004E050000}"/>
    <cellStyle name="Map Data Values" xfId="1086" xr:uid="{00000000-0005-0000-0000-00004F050000}"/>
    <cellStyle name="Map Distance" xfId="1087" xr:uid="{00000000-0005-0000-0000-000050050000}"/>
    <cellStyle name="Map Legend" xfId="1088" xr:uid="{00000000-0005-0000-0000-000051050000}"/>
    <cellStyle name="Map Object Names" xfId="1089" xr:uid="{00000000-0005-0000-0000-000052050000}"/>
    <cellStyle name="Map Title" xfId="1090" xr:uid="{00000000-0005-0000-0000-000053050000}"/>
    <cellStyle name="Már látott hiperhivatkozás" xfId="1091" xr:uid="{00000000-0005-0000-0000-000054050000}"/>
    <cellStyle name="Már látott hiperhivatkozás 2" xfId="1092" xr:uid="{00000000-0005-0000-0000-000055050000}"/>
    <cellStyle name="Millares [0]_107" xfId="1093" xr:uid="{00000000-0005-0000-0000-000056050000}"/>
    <cellStyle name="Millares 10" xfId="2928" xr:uid="{00000000-0005-0000-0000-000057050000}"/>
    <cellStyle name="Millares 8" xfId="2936" xr:uid="{00000000-0005-0000-0000-000058050000}"/>
    <cellStyle name="Millares 9" xfId="2929" xr:uid="{00000000-0005-0000-0000-000059050000}"/>
    <cellStyle name="Millares_107" xfId="1094" xr:uid="{00000000-0005-0000-0000-00005A050000}"/>
    <cellStyle name="Milliers [0]_Annexe vf.xls Graphique 1" xfId="1095" xr:uid="{00000000-0005-0000-0000-00005B050000}"/>
    <cellStyle name="Milliers_Annexe vf.xls Graphique 1" xfId="1096" xr:uid="{00000000-0005-0000-0000-00005C050000}"/>
    <cellStyle name="mitP" xfId="1097" xr:uid="{00000000-0005-0000-0000-00005D050000}"/>
    <cellStyle name="Moeda [0]_%PIB" xfId="1098" xr:uid="{00000000-0005-0000-0000-00005E050000}"/>
    <cellStyle name="Moeda_%PIB" xfId="1099" xr:uid="{00000000-0005-0000-0000-00005F050000}"/>
    <cellStyle name="Moeda0" xfId="1100" xr:uid="{00000000-0005-0000-0000-000060050000}"/>
    <cellStyle name="Moneda [0]_107" xfId="1101" xr:uid="{00000000-0005-0000-0000-000061050000}"/>
    <cellStyle name="Moneda_107" xfId="1102" xr:uid="{00000000-0005-0000-0000-000062050000}"/>
    <cellStyle name="Monétaire [0]_Annexe vf.xls Graphique 1" xfId="1103" xr:uid="{00000000-0005-0000-0000-000063050000}"/>
    <cellStyle name="Monétaire_Annexe vf.xls Graphique 1" xfId="1104" xr:uid="{00000000-0005-0000-0000-000064050000}"/>
    <cellStyle name="MS_Arabic" xfId="1105" xr:uid="{00000000-0005-0000-0000-000065050000}"/>
    <cellStyle name="MTW" xfId="1106" xr:uid="{00000000-0005-0000-0000-000066050000}"/>
    <cellStyle name="mystyle" xfId="2565" xr:uid="{00000000-0005-0000-0000-000067050000}"/>
    <cellStyle name="Navadno_Slo" xfId="1107" xr:uid="{00000000-0005-0000-0000-000068050000}"/>
    <cellStyle name="Neutral" xfId="18" builtinId="28" customBuiltin="1"/>
    <cellStyle name="Neutral 10" xfId="1108" xr:uid="{00000000-0005-0000-0000-00006A050000}"/>
    <cellStyle name="Neutral 10 2" xfId="1109" xr:uid="{00000000-0005-0000-0000-00006B050000}"/>
    <cellStyle name="Neutral 11" xfId="1110" xr:uid="{00000000-0005-0000-0000-00006C050000}"/>
    <cellStyle name="Neutral 2" xfId="1111" xr:uid="{00000000-0005-0000-0000-00006D050000}"/>
    <cellStyle name="Neutral 2 2" xfId="1112" xr:uid="{00000000-0005-0000-0000-00006E050000}"/>
    <cellStyle name="Neutral 3" xfId="1113" xr:uid="{00000000-0005-0000-0000-00006F050000}"/>
    <cellStyle name="Neutral 3 2" xfId="1114" xr:uid="{00000000-0005-0000-0000-000070050000}"/>
    <cellStyle name="Neutral 4" xfId="1115" xr:uid="{00000000-0005-0000-0000-000071050000}"/>
    <cellStyle name="Neutral 4 2" xfId="1116" xr:uid="{00000000-0005-0000-0000-000072050000}"/>
    <cellStyle name="Neutral 5" xfId="1117" xr:uid="{00000000-0005-0000-0000-000073050000}"/>
    <cellStyle name="Neutral 5 2" xfId="1118" xr:uid="{00000000-0005-0000-0000-000074050000}"/>
    <cellStyle name="Neutral 6" xfId="1119" xr:uid="{00000000-0005-0000-0000-000075050000}"/>
    <cellStyle name="Neutral 6 2" xfId="1120" xr:uid="{00000000-0005-0000-0000-000076050000}"/>
    <cellStyle name="Neutral 7" xfId="1121" xr:uid="{00000000-0005-0000-0000-000077050000}"/>
    <cellStyle name="Neutral 7 2" xfId="1122" xr:uid="{00000000-0005-0000-0000-000078050000}"/>
    <cellStyle name="Neutral 8" xfId="1123" xr:uid="{00000000-0005-0000-0000-000079050000}"/>
    <cellStyle name="Neutral 8 2" xfId="1124" xr:uid="{00000000-0005-0000-0000-00007A050000}"/>
    <cellStyle name="Neutral 9" xfId="1125" xr:uid="{00000000-0005-0000-0000-00007B050000}"/>
    <cellStyle name="Neutral 9 2" xfId="1126" xr:uid="{00000000-0005-0000-0000-00007C050000}"/>
    <cellStyle name="Non défini" xfId="1127" xr:uid="{00000000-0005-0000-0000-00007D050000}"/>
    <cellStyle name="Non défini 2" xfId="1128" xr:uid="{00000000-0005-0000-0000-00007E050000}"/>
    <cellStyle name="Normaali_CENTRAL" xfId="1129" xr:uid="{00000000-0005-0000-0000-00007F050000}"/>
    <cellStyle name="Normal" xfId="0" builtinId="0"/>
    <cellStyle name="Normal - Style1" xfId="77" xr:uid="{00000000-0005-0000-0000-000081050000}"/>
    <cellStyle name="Normal - Style1 10" xfId="1130" xr:uid="{00000000-0005-0000-0000-000082050000}"/>
    <cellStyle name="Normal - Style1 11" xfId="2566" xr:uid="{00000000-0005-0000-0000-000083050000}"/>
    <cellStyle name="Normal - Style1 12" xfId="2567" xr:uid="{00000000-0005-0000-0000-000084050000}"/>
    <cellStyle name="Normal - Style1 13" xfId="2070" xr:uid="{00000000-0005-0000-0000-000085050000}"/>
    <cellStyle name="Normal - Style1 2" xfId="1131" xr:uid="{00000000-0005-0000-0000-000086050000}"/>
    <cellStyle name="Normal - Style1 2 2" xfId="1132" xr:uid="{00000000-0005-0000-0000-000087050000}"/>
    <cellStyle name="Normal - Style1 2 2 2" xfId="1133" xr:uid="{00000000-0005-0000-0000-000088050000}"/>
    <cellStyle name="Normal - Style1 2 3" xfId="1134" xr:uid="{00000000-0005-0000-0000-000089050000}"/>
    <cellStyle name="Normal - Style1 3" xfId="1135" xr:uid="{00000000-0005-0000-0000-00008A050000}"/>
    <cellStyle name="Normal - Style1 4" xfId="1136" xr:uid="{00000000-0005-0000-0000-00008B050000}"/>
    <cellStyle name="Normal - Style1 5" xfId="1137" xr:uid="{00000000-0005-0000-0000-00008C050000}"/>
    <cellStyle name="Normal - Style1 6" xfId="1138" xr:uid="{00000000-0005-0000-0000-00008D050000}"/>
    <cellStyle name="Normal - Style1 7" xfId="1139" xr:uid="{00000000-0005-0000-0000-00008E050000}"/>
    <cellStyle name="Normal - Style1 8" xfId="1140" xr:uid="{00000000-0005-0000-0000-00008F050000}"/>
    <cellStyle name="Normal - Style1 9" xfId="1141" xr:uid="{00000000-0005-0000-0000-000090050000}"/>
    <cellStyle name="Normal - Style2" xfId="78" xr:uid="{00000000-0005-0000-0000-000091050000}"/>
    <cellStyle name="Normal - Style2 2" xfId="1142" xr:uid="{00000000-0005-0000-0000-000092050000}"/>
    <cellStyle name="Normal - Style2 3" xfId="2568" xr:uid="{00000000-0005-0000-0000-000093050000}"/>
    <cellStyle name="Normal - Style2 4" xfId="2569" xr:uid="{00000000-0005-0000-0000-000094050000}"/>
    <cellStyle name="Normal - Style3" xfId="79" xr:uid="{00000000-0005-0000-0000-000095050000}"/>
    <cellStyle name="Normal - Style3 2" xfId="1143" xr:uid="{00000000-0005-0000-0000-000096050000}"/>
    <cellStyle name="Normal - Style3 3" xfId="2570" xr:uid="{00000000-0005-0000-0000-000097050000}"/>
    <cellStyle name="Normal - Style4" xfId="1144" xr:uid="{00000000-0005-0000-0000-000098050000}"/>
    <cellStyle name="Normal - Style4 2" xfId="1145" xr:uid="{00000000-0005-0000-0000-000099050000}"/>
    <cellStyle name="Normal - Style4 3" xfId="2571" xr:uid="{00000000-0005-0000-0000-00009A050000}"/>
    <cellStyle name="Normal - Style4 4" xfId="2572" xr:uid="{00000000-0005-0000-0000-00009B050000}"/>
    <cellStyle name="Normal - Style5" xfId="1146" xr:uid="{00000000-0005-0000-0000-00009C050000}"/>
    <cellStyle name="Normal - Style5 2" xfId="2573" xr:uid="{00000000-0005-0000-0000-00009D050000}"/>
    <cellStyle name="Normal - Style5 3" xfId="2574" xr:uid="{00000000-0005-0000-0000-00009E050000}"/>
    <cellStyle name="Normal - Style6" xfId="1147" xr:uid="{00000000-0005-0000-0000-00009F050000}"/>
    <cellStyle name="Normal - Style6 2" xfId="2575" xr:uid="{00000000-0005-0000-0000-0000A0050000}"/>
    <cellStyle name="Normal - Style6 3" xfId="2576" xr:uid="{00000000-0005-0000-0000-0000A1050000}"/>
    <cellStyle name="Normal - Style7" xfId="1148" xr:uid="{00000000-0005-0000-0000-0000A2050000}"/>
    <cellStyle name="Normal - Style7 2" xfId="2577" xr:uid="{00000000-0005-0000-0000-0000A3050000}"/>
    <cellStyle name="Normal - Style7 3" xfId="2578" xr:uid="{00000000-0005-0000-0000-0000A4050000}"/>
    <cellStyle name="Normal - Style8" xfId="1149" xr:uid="{00000000-0005-0000-0000-0000A5050000}"/>
    <cellStyle name="Normal 10" xfId="1150" xr:uid="{00000000-0005-0000-0000-0000A6050000}"/>
    <cellStyle name="Normal 10 2" xfId="1151" xr:uid="{00000000-0005-0000-0000-0000A7050000}"/>
    <cellStyle name="Normal 10 2 2" xfId="1152" xr:uid="{00000000-0005-0000-0000-0000A8050000}"/>
    <cellStyle name="Normal 10 3" xfId="1153" xr:uid="{00000000-0005-0000-0000-0000A9050000}"/>
    <cellStyle name="Normal 10 4" xfId="1154" xr:uid="{00000000-0005-0000-0000-0000AA050000}"/>
    <cellStyle name="Normal 10 5" xfId="2579" xr:uid="{00000000-0005-0000-0000-0000AB050000}"/>
    <cellStyle name="Normal 10 6" xfId="2132" xr:uid="{00000000-0005-0000-0000-0000AC050000}"/>
    <cellStyle name="Normal 100" xfId="1155" xr:uid="{00000000-0005-0000-0000-0000AD050000}"/>
    <cellStyle name="Normal 100 2" xfId="1156" xr:uid="{00000000-0005-0000-0000-0000AE050000}"/>
    <cellStyle name="Normal 101" xfId="1157" xr:uid="{00000000-0005-0000-0000-0000AF050000}"/>
    <cellStyle name="Normal 101 2" xfId="1158" xr:uid="{00000000-0005-0000-0000-0000B0050000}"/>
    <cellStyle name="Normal 102" xfId="3" xr:uid="{00000000-0005-0000-0000-0000B1050000}"/>
    <cellStyle name="Normal 102 2" xfId="1160" xr:uid="{00000000-0005-0000-0000-0000B2050000}"/>
    <cellStyle name="Normal 102 3" xfId="1159" xr:uid="{00000000-0005-0000-0000-0000B3050000}"/>
    <cellStyle name="Normal 103" xfId="1161" xr:uid="{00000000-0005-0000-0000-0000B4050000}"/>
    <cellStyle name="Normal 103 2" xfId="1162" xr:uid="{00000000-0005-0000-0000-0000B5050000}"/>
    <cellStyle name="Normal 104" xfId="4" xr:uid="{00000000-0005-0000-0000-0000B6050000}"/>
    <cellStyle name="Normal 104 2" xfId="1164" xr:uid="{00000000-0005-0000-0000-0000B7050000}"/>
    <cellStyle name="Normal 104 3" xfId="1163" xr:uid="{00000000-0005-0000-0000-0000B8050000}"/>
    <cellStyle name="Normal 105" xfId="1" xr:uid="{00000000-0005-0000-0000-0000B9050000}"/>
    <cellStyle name="Normal 105 2" xfId="1166" xr:uid="{00000000-0005-0000-0000-0000BA050000}"/>
    <cellStyle name="Normal 105 3" xfId="1165" xr:uid="{00000000-0005-0000-0000-0000BB050000}"/>
    <cellStyle name="Normal 106" xfId="1167" xr:uid="{00000000-0005-0000-0000-0000BC050000}"/>
    <cellStyle name="Normal 106 2" xfId="1168" xr:uid="{00000000-0005-0000-0000-0000BD050000}"/>
    <cellStyle name="Normal 107" xfId="1169" xr:uid="{00000000-0005-0000-0000-0000BE050000}"/>
    <cellStyle name="Normal 107 2" xfId="1170" xr:uid="{00000000-0005-0000-0000-0000BF050000}"/>
    <cellStyle name="Normal 108" xfId="1171" xr:uid="{00000000-0005-0000-0000-0000C0050000}"/>
    <cellStyle name="Normal 108 2" xfId="1172" xr:uid="{00000000-0005-0000-0000-0000C1050000}"/>
    <cellStyle name="Normal 109" xfId="1173" xr:uid="{00000000-0005-0000-0000-0000C2050000}"/>
    <cellStyle name="Normal 109 2" xfId="1174" xr:uid="{00000000-0005-0000-0000-0000C3050000}"/>
    <cellStyle name="Normal 11" xfId="1175" xr:uid="{00000000-0005-0000-0000-0000C4050000}"/>
    <cellStyle name="Normal 11 2" xfId="1176" xr:uid="{00000000-0005-0000-0000-0000C5050000}"/>
    <cellStyle name="Normal 11 2 2" xfId="1177" xr:uid="{00000000-0005-0000-0000-0000C6050000}"/>
    <cellStyle name="Normal 11 3" xfId="1178" xr:uid="{00000000-0005-0000-0000-0000C7050000}"/>
    <cellStyle name="Normal 11 4" xfId="1179" xr:uid="{00000000-0005-0000-0000-0000C8050000}"/>
    <cellStyle name="Normal 11 5" xfId="2580" xr:uid="{00000000-0005-0000-0000-0000C9050000}"/>
    <cellStyle name="Normal 11 6" xfId="2133" xr:uid="{00000000-0005-0000-0000-0000CA050000}"/>
    <cellStyle name="Normal 110" xfId="1180" xr:uid="{00000000-0005-0000-0000-0000CB050000}"/>
    <cellStyle name="Normal 110 2" xfId="1181" xr:uid="{00000000-0005-0000-0000-0000CC050000}"/>
    <cellStyle name="Normal 111" xfId="1182" xr:uid="{00000000-0005-0000-0000-0000CD050000}"/>
    <cellStyle name="Normal 111 2" xfId="1183" xr:uid="{00000000-0005-0000-0000-0000CE050000}"/>
    <cellStyle name="Normal 112" xfId="1184" xr:uid="{00000000-0005-0000-0000-0000CF050000}"/>
    <cellStyle name="Normal 112 2" xfId="1185" xr:uid="{00000000-0005-0000-0000-0000D0050000}"/>
    <cellStyle name="Normal 113" xfId="1186" xr:uid="{00000000-0005-0000-0000-0000D1050000}"/>
    <cellStyle name="Normal 113 2" xfId="1187" xr:uid="{00000000-0005-0000-0000-0000D2050000}"/>
    <cellStyle name="Normal 114" xfId="1188" xr:uid="{00000000-0005-0000-0000-0000D3050000}"/>
    <cellStyle name="Normal 114 2" xfId="1189" xr:uid="{00000000-0005-0000-0000-0000D4050000}"/>
    <cellStyle name="Normal 115" xfId="1190" xr:uid="{00000000-0005-0000-0000-0000D5050000}"/>
    <cellStyle name="Normal 115 2" xfId="1191" xr:uid="{00000000-0005-0000-0000-0000D6050000}"/>
    <cellStyle name="Normal 116" xfId="1192" xr:uid="{00000000-0005-0000-0000-0000D7050000}"/>
    <cellStyle name="Normal 116 2" xfId="1193" xr:uid="{00000000-0005-0000-0000-0000D8050000}"/>
    <cellStyle name="Normal 117" xfId="1194" xr:uid="{00000000-0005-0000-0000-0000D9050000}"/>
    <cellStyle name="Normal 117 2" xfId="1195" xr:uid="{00000000-0005-0000-0000-0000DA050000}"/>
    <cellStyle name="Normal 118" xfId="1196" xr:uid="{00000000-0005-0000-0000-0000DB050000}"/>
    <cellStyle name="Normal 118 2" xfId="1197" xr:uid="{00000000-0005-0000-0000-0000DC050000}"/>
    <cellStyle name="Normal 119" xfId="1198" xr:uid="{00000000-0005-0000-0000-0000DD050000}"/>
    <cellStyle name="Normal 119 2" xfId="1199" xr:uid="{00000000-0005-0000-0000-0000DE050000}"/>
    <cellStyle name="Normal 12" xfId="1200" xr:uid="{00000000-0005-0000-0000-0000DF050000}"/>
    <cellStyle name="Normal 12 2" xfId="1201" xr:uid="{00000000-0005-0000-0000-0000E0050000}"/>
    <cellStyle name="Normal 12 2 2" xfId="1202" xr:uid="{00000000-0005-0000-0000-0000E1050000}"/>
    <cellStyle name="Normal 12 3" xfId="1203" xr:uid="{00000000-0005-0000-0000-0000E2050000}"/>
    <cellStyle name="Normal 12 3 2" xfId="1204" xr:uid="{00000000-0005-0000-0000-0000E3050000}"/>
    <cellStyle name="Normal 12 4" xfId="1205" xr:uid="{00000000-0005-0000-0000-0000E4050000}"/>
    <cellStyle name="Normal 12 5" xfId="1206" xr:uid="{00000000-0005-0000-0000-0000E5050000}"/>
    <cellStyle name="Normal 12 6" xfId="2353" xr:uid="{00000000-0005-0000-0000-0000E6050000}"/>
    <cellStyle name="Normal 12 7" xfId="2153" xr:uid="{00000000-0005-0000-0000-0000E7050000}"/>
    <cellStyle name="Normal 120" xfId="1207" xr:uid="{00000000-0005-0000-0000-0000E8050000}"/>
    <cellStyle name="Normal 120 2" xfId="1208" xr:uid="{00000000-0005-0000-0000-0000E9050000}"/>
    <cellStyle name="Normal 121" xfId="1209" xr:uid="{00000000-0005-0000-0000-0000EA050000}"/>
    <cellStyle name="Normal 121 2" xfId="1210" xr:uid="{00000000-0005-0000-0000-0000EB050000}"/>
    <cellStyle name="Normal 122" xfId="1211" xr:uid="{00000000-0005-0000-0000-0000EC050000}"/>
    <cellStyle name="Normal 122 2" xfId="1212" xr:uid="{00000000-0005-0000-0000-0000ED050000}"/>
    <cellStyle name="Normal 123" xfId="1213" xr:uid="{00000000-0005-0000-0000-0000EE050000}"/>
    <cellStyle name="Normal 123 2" xfId="1214" xr:uid="{00000000-0005-0000-0000-0000EF050000}"/>
    <cellStyle name="Normal 124" xfId="1215" xr:uid="{00000000-0005-0000-0000-0000F0050000}"/>
    <cellStyle name="Normal 124 2" xfId="1216" xr:uid="{00000000-0005-0000-0000-0000F1050000}"/>
    <cellStyle name="Normal 125" xfId="1217" xr:uid="{00000000-0005-0000-0000-0000F2050000}"/>
    <cellStyle name="Normal 125 2" xfId="1218" xr:uid="{00000000-0005-0000-0000-0000F3050000}"/>
    <cellStyle name="Normal 126" xfId="1219" xr:uid="{00000000-0005-0000-0000-0000F4050000}"/>
    <cellStyle name="Normal 126 2" xfId="1220" xr:uid="{00000000-0005-0000-0000-0000F5050000}"/>
    <cellStyle name="Normal 127" xfId="1221" xr:uid="{00000000-0005-0000-0000-0000F6050000}"/>
    <cellStyle name="Normal 127 2" xfId="1222" xr:uid="{00000000-0005-0000-0000-0000F7050000}"/>
    <cellStyle name="Normal 128" xfId="1223" xr:uid="{00000000-0005-0000-0000-0000F8050000}"/>
    <cellStyle name="Normal 128 2" xfId="1224" xr:uid="{00000000-0005-0000-0000-0000F9050000}"/>
    <cellStyle name="Normal 129" xfId="1225" xr:uid="{00000000-0005-0000-0000-0000FA050000}"/>
    <cellStyle name="Normal 129 2" xfId="1226" xr:uid="{00000000-0005-0000-0000-0000FB050000}"/>
    <cellStyle name="Normal 13" xfId="1227" xr:uid="{00000000-0005-0000-0000-0000FC050000}"/>
    <cellStyle name="Normal 13 2" xfId="1228" xr:uid="{00000000-0005-0000-0000-0000FD050000}"/>
    <cellStyle name="Normal 13 3" xfId="1229" xr:uid="{00000000-0005-0000-0000-0000FE050000}"/>
    <cellStyle name="Normal 13 4" xfId="2581" xr:uid="{00000000-0005-0000-0000-0000FF050000}"/>
    <cellStyle name="Normal 130" xfId="1230" xr:uid="{00000000-0005-0000-0000-000000060000}"/>
    <cellStyle name="Normal 130 2" xfId="1231" xr:uid="{00000000-0005-0000-0000-000001060000}"/>
    <cellStyle name="Normal 131" xfId="1232" xr:uid="{00000000-0005-0000-0000-000002060000}"/>
    <cellStyle name="Normal 131 2" xfId="1233" xr:uid="{00000000-0005-0000-0000-000003060000}"/>
    <cellStyle name="Normal 132" xfId="1234" xr:uid="{00000000-0005-0000-0000-000004060000}"/>
    <cellStyle name="Normal 132 2" xfId="1235" xr:uid="{00000000-0005-0000-0000-000005060000}"/>
    <cellStyle name="Normal 133" xfId="1236" xr:uid="{00000000-0005-0000-0000-000006060000}"/>
    <cellStyle name="Normal 133 2" xfId="1237" xr:uid="{00000000-0005-0000-0000-000007060000}"/>
    <cellStyle name="Normal 134" xfId="1238" xr:uid="{00000000-0005-0000-0000-000008060000}"/>
    <cellStyle name="Normal 134 2" xfId="1239" xr:uid="{00000000-0005-0000-0000-000009060000}"/>
    <cellStyle name="Normal 135" xfId="1240" xr:uid="{00000000-0005-0000-0000-00000A060000}"/>
    <cellStyle name="Normal 135 2" xfId="1241" xr:uid="{00000000-0005-0000-0000-00000B060000}"/>
    <cellStyle name="Normal 136" xfId="1242" xr:uid="{00000000-0005-0000-0000-00000C060000}"/>
    <cellStyle name="Normal 136 2" xfId="1243" xr:uid="{00000000-0005-0000-0000-00000D060000}"/>
    <cellStyle name="Normal 137" xfId="1244" xr:uid="{00000000-0005-0000-0000-00000E060000}"/>
    <cellStyle name="Normal 137 2" xfId="1245" xr:uid="{00000000-0005-0000-0000-00000F060000}"/>
    <cellStyle name="Normal 138" xfId="1246" xr:uid="{00000000-0005-0000-0000-000010060000}"/>
    <cellStyle name="Normal 138 2" xfId="1247" xr:uid="{00000000-0005-0000-0000-000011060000}"/>
    <cellStyle name="Normal 139" xfId="1248" xr:uid="{00000000-0005-0000-0000-000012060000}"/>
    <cellStyle name="Normal 139 2" xfId="1249" xr:uid="{00000000-0005-0000-0000-000013060000}"/>
    <cellStyle name="Normal 14" xfId="1250" xr:uid="{00000000-0005-0000-0000-000014060000}"/>
    <cellStyle name="Normal 14 2" xfId="1251" xr:uid="{00000000-0005-0000-0000-000015060000}"/>
    <cellStyle name="Normal 14 2 2" xfId="90" xr:uid="{00000000-0005-0000-0000-000016060000}"/>
    <cellStyle name="Normal 14 2 2 2" xfId="1252" xr:uid="{00000000-0005-0000-0000-000017060000}"/>
    <cellStyle name="Normal 14 2 3" xfId="1253" xr:uid="{00000000-0005-0000-0000-000018060000}"/>
    <cellStyle name="Normal 14 2 3 2" xfId="2582" xr:uid="{00000000-0005-0000-0000-000019060000}"/>
    <cellStyle name="Normal 14 2 3 3" xfId="2163" xr:uid="{00000000-0005-0000-0000-00001A060000}"/>
    <cellStyle name="Normal 14 2 4" xfId="1254" xr:uid="{00000000-0005-0000-0000-00001B060000}"/>
    <cellStyle name="Normal 14 2 4 2" xfId="2583" xr:uid="{00000000-0005-0000-0000-00001C060000}"/>
    <cellStyle name="Normal 14 2 4 3" xfId="2164" xr:uid="{00000000-0005-0000-0000-00001D060000}"/>
    <cellStyle name="Normal 14 2 5" xfId="2584" xr:uid="{00000000-0005-0000-0000-00001E060000}"/>
    <cellStyle name="Normal 14 2 6" xfId="2162" xr:uid="{00000000-0005-0000-0000-00001F060000}"/>
    <cellStyle name="Normal 14 3" xfId="1255" xr:uid="{00000000-0005-0000-0000-000020060000}"/>
    <cellStyle name="Normal 14 4" xfId="1256" xr:uid="{00000000-0005-0000-0000-000021060000}"/>
    <cellStyle name="Normal 14 5" xfId="1257" xr:uid="{00000000-0005-0000-0000-000022060000}"/>
    <cellStyle name="Normal 14 6" xfId="2585" xr:uid="{00000000-0005-0000-0000-000023060000}"/>
    <cellStyle name="Normal 140" xfId="1258" xr:uid="{00000000-0005-0000-0000-000024060000}"/>
    <cellStyle name="Normal 140 2" xfId="1259" xr:uid="{00000000-0005-0000-0000-000025060000}"/>
    <cellStyle name="Normal 140 3" xfId="1260" xr:uid="{00000000-0005-0000-0000-000026060000}"/>
    <cellStyle name="Normal 141" xfId="1261" xr:uid="{00000000-0005-0000-0000-000027060000}"/>
    <cellStyle name="Normal 141 2" xfId="1262" xr:uid="{00000000-0005-0000-0000-000028060000}"/>
    <cellStyle name="Normal 141 3" xfId="2586" xr:uid="{00000000-0005-0000-0000-000029060000}"/>
    <cellStyle name="Normal 141 4" xfId="2165" xr:uid="{00000000-0005-0000-0000-00002A060000}"/>
    <cellStyle name="Normal 142" xfId="1263" xr:uid="{00000000-0005-0000-0000-00002B060000}"/>
    <cellStyle name="Normal 142 2" xfId="1264" xr:uid="{00000000-0005-0000-0000-00002C060000}"/>
    <cellStyle name="Normal 142 3" xfId="2587" xr:uid="{00000000-0005-0000-0000-00002D060000}"/>
    <cellStyle name="Normal 142 4" xfId="2166" xr:uid="{00000000-0005-0000-0000-00002E060000}"/>
    <cellStyle name="Normal 143" xfId="1265" xr:uid="{00000000-0005-0000-0000-00002F060000}"/>
    <cellStyle name="Normal 143 2" xfId="1266" xr:uid="{00000000-0005-0000-0000-000030060000}"/>
    <cellStyle name="Normal 143 3" xfId="2588" xr:uid="{00000000-0005-0000-0000-000031060000}"/>
    <cellStyle name="Normal 143 4" xfId="2167" xr:uid="{00000000-0005-0000-0000-000032060000}"/>
    <cellStyle name="Normal 144" xfId="1267" xr:uid="{00000000-0005-0000-0000-000033060000}"/>
    <cellStyle name="Normal 144 2" xfId="1268" xr:uid="{00000000-0005-0000-0000-000034060000}"/>
    <cellStyle name="Normal 144 3" xfId="2589" xr:uid="{00000000-0005-0000-0000-000035060000}"/>
    <cellStyle name="Normal 144 4" xfId="2168" xr:uid="{00000000-0005-0000-0000-000036060000}"/>
    <cellStyle name="Normal 145" xfId="1269" xr:uid="{00000000-0005-0000-0000-000037060000}"/>
    <cellStyle name="Normal 145 2" xfId="1270" xr:uid="{00000000-0005-0000-0000-000038060000}"/>
    <cellStyle name="Normal 145 3" xfId="2590" xr:uid="{00000000-0005-0000-0000-000039060000}"/>
    <cellStyle name="Normal 145 4" xfId="2169" xr:uid="{00000000-0005-0000-0000-00003A060000}"/>
    <cellStyle name="Normal 146" xfId="1271" xr:uid="{00000000-0005-0000-0000-00003B060000}"/>
    <cellStyle name="Normal 146 2" xfId="1272" xr:uid="{00000000-0005-0000-0000-00003C060000}"/>
    <cellStyle name="Normal 146 3" xfId="2591" xr:uid="{00000000-0005-0000-0000-00003D060000}"/>
    <cellStyle name="Normal 146 4" xfId="2170" xr:uid="{00000000-0005-0000-0000-00003E060000}"/>
    <cellStyle name="Normal 147" xfId="1273" xr:uid="{00000000-0005-0000-0000-00003F060000}"/>
    <cellStyle name="Normal 147 2" xfId="1274" xr:uid="{00000000-0005-0000-0000-000040060000}"/>
    <cellStyle name="Normal 147 3" xfId="2592" xr:uid="{00000000-0005-0000-0000-000041060000}"/>
    <cellStyle name="Normal 147 4" xfId="2171" xr:uid="{00000000-0005-0000-0000-000042060000}"/>
    <cellStyle name="Normal 148" xfId="1275" xr:uid="{00000000-0005-0000-0000-000043060000}"/>
    <cellStyle name="Normal 148 2" xfId="1276" xr:uid="{00000000-0005-0000-0000-000044060000}"/>
    <cellStyle name="Normal 148 3" xfId="2593" xr:uid="{00000000-0005-0000-0000-000045060000}"/>
    <cellStyle name="Normal 148 4" xfId="2172" xr:uid="{00000000-0005-0000-0000-000046060000}"/>
    <cellStyle name="Normal 149" xfId="1277" xr:uid="{00000000-0005-0000-0000-000047060000}"/>
    <cellStyle name="Normal 149 2" xfId="1278" xr:uid="{00000000-0005-0000-0000-000048060000}"/>
    <cellStyle name="Normal 149 3" xfId="2594" xr:uid="{00000000-0005-0000-0000-000049060000}"/>
    <cellStyle name="Normal 149 4" xfId="2173" xr:uid="{00000000-0005-0000-0000-00004A060000}"/>
    <cellStyle name="Normal 15" xfId="1279" xr:uid="{00000000-0005-0000-0000-00004B060000}"/>
    <cellStyle name="Normal 15 2" xfId="1280" xr:uid="{00000000-0005-0000-0000-00004C060000}"/>
    <cellStyle name="Normal 15 2 2" xfId="1281" xr:uid="{00000000-0005-0000-0000-00004D060000}"/>
    <cellStyle name="Normal 15 2 2 2" xfId="2595" xr:uid="{00000000-0005-0000-0000-00004E060000}"/>
    <cellStyle name="Normal 15 2 2 3" xfId="2175" xr:uid="{00000000-0005-0000-0000-00004F060000}"/>
    <cellStyle name="Normal 15 2 3" xfId="1282" xr:uid="{00000000-0005-0000-0000-000050060000}"/>
    <cellStyle name="Normal 15 2 3 2" xfId="2596" xr:uid="{00000000-0005-0000-0000-000051060000}"/>
    <cellStyle name="Normal 15 2 3 3" xfId="2176" xr:uid="{00000000-0005-0000-0000-000052060000}"/>
    <cellStyle name="Normal 15 2 4" xfId="2597" xr:uid="{00000000-0005-0000-0000-000053060000}"/>
    <cellStyle name="Normal 15 2 5" xfId="2174" xr:uid="{00000000-0005-0000-0000-000054060000}"/>
    <cellStyle name="Normal 15 3" xfId="1283" xr:uid="{00000000-0005-0000-0000-000055060000}"/>
    <cellStyle name="Normal 15 4" xfId="1284" xr:uid="{00000000-0005-0000-0000-000056060000}"/>
    <cellStyle name="Normal 15 5" xfId="1285" xr:uid="{00000000-0005-0000-0000-000057060000}"/>
    <cellStyle name="Normal 15 6" xfId="2598" xr:uid="{00000000-0005-0000-0000-000058060000}"/>
    <cellStyle name="Normal 150" xfId="1286" xr:uid="{00000000-0005-0000-0000-000059060000}"/>
    <cellStyle name="Normal 150 2" xfId="1287" xr:uid="{00000000-0005-0000-0000-00005A060000}"/>
    <cellStyle name="Normal 150 3" xfId="2599" xr:uid="{00000000-0005-0000-0000-00005B060000}"/>
    <cellStyle name="Normal 150 4" xfId="2177" xr:uid="{00000000-0005-0000-0000-00005C060000}"/>
    <cellStyle name="Normal 151" xfId="1288" xr:uid="{00000000-0005-0000-0000-00005D060000}"/>
    <cellStyle name="Normal 151 2" xfId="1289" xr:uid="{00000000-0005-0000-0000-00005E060000}"/>
    <cellStyle name="Normal 151 3" xfId="2600" xr:uid="{00000000-0005-0000-0000-00005F060000}"/>
    <cellStyle name="Normal 151 4" xfId="2178" xr:uid="{00000000-0005-0000-0000-000060060000}"/>
    <cellStyle name="Normal 152" xfId="1290" xr:uid="{00000000-0005-0000-0000-000061060000}"/>
    <cellStyle name="Normal 152 2" xfId="1291" xr:uid="{00000000-0005-0000-0000-000062060000}"/>
    <cellStyle name="Normal 152 3" xfId="2601" xr:uid="{00000000-0005-0000-0000-000063060000}"/>
    <cellStyle name="Normal 152 4" xfId="2179" xr:uid="{00000000-0005-0000-0000-000064060000}"/>
    <cellStyle name="Normal 153" xfId="1292" xr:uid="{00000000-0005-0000-0000-000065060000}"/>
    <cellStyle name="Normal 153 2" xfId="1293" xr:uid="{00000000-0005-0000-0000-000066060000}"/>
    <cellStyle name="Normal 153 3" xfId="2602" xr:uid="{00000000-0005-0000-0000-000067060000}"/>
    <cellStyle name="Normal 153 4" xfId="2180" xr:uid="{00000000-0005-0000-0000-000068060000}"/>
    <cellStyle name="Normal 154" xfId="1294" xr:uid="{00000000-0005-0000-0000-000069060000}"/>
    <cellStyle name="Normal 154 2" xfId="1295" xr:uid="{00000000-0005-0000-0000-00006A060000}"/>
    <cellStyle name="Normal 154 3" xfId="2603" xr:uid="{00000000-0005-0000-0000-00006B060000}"/>
    <cellStyle name="Normal 154 4" xfId="2181" xr:uid="{00000000-0005-0000-0000-00006C060000}"/>
    <cellStyle name="Normal 155" xfId="1296" xr:uid="{00000000-0005-0000-0000-00006D060000}"/>
    <cellStyle name="Normal 155 2" xfId="1297" xr:uid="{00000000-0005-0000-0000-00006E060000}"/>
    <cellStyle name="Normal 155 3" xfId="2604" xr:uid="{00000000-0005-0000-0000-00006F060000}"/>
    <cellStyle name="Normal 155 4" xfId="2182" xr:uid="{00000000-0005-0000-0000-000070060000}"/>
    <cellStyle name="Normal 156" xfId="1298" xr:uid="{00000000-0005-0000-0000-000071060000}"/>
    <cellStyle name="Normal 156 2" xfId="1299" xr:uid="{00000000-0005-0000-0000-000072060000}"/>
    <cellStyle name="Normal 157" xfId="1300" xr:uid="{00000000-0005-0000-0000-000073060000}"/>
    <cellStyle name="Normal 157 2" xfId="1301" xr:uid="{00000000-0005-0000-0000-000074060000}"/>
    <cellStyle name="Normal 157 3" xfId="2605" xr:uid="{00000000-0005-0000-0000-000075060000}"/>
    <cellStyle name="Normal 157 4" xfId="2183" xr:uid="{00000000-0005-0000-0000-000076060000}"/>
    <cellStyle name="Normal 158" xfId="1302" xr:uid="{00000000-0005-0000-0000-000077060000}"/>
    <cellStyle name="Normal 159" xfId="1303" xr:uid="{00000000-0005-0000-0000-000078060000}"/>
    <cellStyle name="Normal 16" xfId="1304" xr:uid="{00000000-0005-0000-0000-000079060000}"/>
    <cellStyle name="Normal 16 2" xfId="1305" xr:uid="{00000000-0005-0000-0000-00007A060000}"/>
    <cellStyle name="Normal 16 2 2" xfId="1306" xr:uid="{00000000-0005-0000-0000-00007B060000}"/>
    <cellStyle name="Normal 16 2 2 2" xfId="2606" xr:uid="{00000000-0005-0000-0000-00007C060000}"/>
    <cellStyle name="Normal 16 2 2 3" xfId="2185" xr:uid="{00000000-0005-0000-0000-00007D060000}"/>
    <cellStyle name="Normal 16 2 3" xfId="1307" xr:uid="{00000000-0005-0000-0000-00007E060000}"/>
    <cellStyle name="Normal 16 2 3 2" xfId="2607" xr:uid="{00000000-0005-0000-0000-00007F060000}"/>
    <cellStyle name="Normal 16 2 3 3" xfId="2186" xr:uid="{00000000-0005-0000-0000-000080060000}"/>
    <cellStyle name="Normal 16 2 4" xfId="2608" xr:uid="{00000000-0005-0000-0000-000081060000}"/>
    <cellStyle name="Normal 16 2 5" xfId="2184" xr:uid="{00000000-0005-0000-0000-000082060000}"/>
    <cellStyle name="Normal 16 3" xfId="1308" xr:uid="{00000000-0005-0000-0000-000083060000}"/>
    <cellStyle name="Normal 16 4" xfId="1309" xr:uid="{00000000-0005-0000-0000-000084060000}"/>
    <cellStyle name="Normal 16 5" xfId="1310" xr:uid="{00000000-0005-0000-0000-000085060000}"/>
    <cellStyle name="Normal 16 6" xfId="2609" xr:uid="{00000000-0005-0000-0000-000086060000}"/>
    <cellStyle name="Normal 160" xfId="1311" xr:uid="{00000000-0005-0000-0000-000087060000}"/>
    <cellStyle name="Normal 161" xfId="1312" xr:uid="{00000000-0005-0000-0000-000088060000}"/>
    <cellStyle name="Normal 162" xfId="1313" xr:uid="{00000000-0005-0000-0000-000089060000}"/>
    <cellStyle name="Normal 163" xfId="1314" xr:uid="{00000000-0005-0000-0000-00008A060000}"/>
    <cellStyle name="Normal 164" xfId="1315" xr:uid="{00000000-0005-0000-0000-00008B060000}"/>
    <cellStyle name="Normal 165" xfId="1316" xr:uid="{00000000-0005-0000-0000-00008C060000}"/>
    <cellStyle name="Normal 166" xfId="1317" xr:uid="{00000000-0005-0000-0000-00008D060000}"/>
    <cellStyle name="Normal 167" xfId="1318" xr:uid="{00000000-0005-0000-0000-00008E060000}"/>
    <cellStyle name="Normal 168" xfId="1319" xr:uid="{00000000-0005-0000-0000-00008F060000}"/>
    <cellStyle name="Normal 169" xfId="1320" xr:uid="{00000000-0005-0000-0000-000090060000}"/>
    <cellStyle name="Normal 169 2" xfId="2610" xr:uid="{00000000-0005-0000-0000-000091060000}"/>
    <cellStyle name="Normal 169 3" xfId="2187" xr:uid="{00000000-0005-0000-0000-000092060000}"/>
    <cellStyle name="Normal 17" xfId="1321" xr:uid="{00000000-0005-0000-0000-000093060000}"/>
    <cellStyle name="Normal 17 10" xfId="2611" xr:uid="{00000000-0005-0000-0000-000094060000}"/>
    <cellStyle name="Normal 17 11" xfId="2188" xr:uid="{00000000-0005-0000-0000-000095060000}"/>
    <cellStyle name="Normal 17 2" xfId="1322" xr:uid="{00000000-0005-0000-0000-000096060000}"/>
    <cellStyle name="Normal 17 2 2" xfId="1323" xr:uid="{00000000-0005-0000-0000-000097060000}"/>
    <cellStyle name="Normal 17 2 2 2" xfId="2612" xr:uid="{00000000-0005-0000-0000-000098060000}"/>
    <cellStyle name="Normal 17 2 2 3" xfId="2190" xr:uid="{00000000-0005-0000-0000-000099060000}"/>
    <cellStyle name="Normal 17 2 3" xfId="1324" xr:uid="{00000000-0005-0000-0000-00009A060000}"/>
    <cellStyle name="Normal 17 2 3 2" xfId="2613" xr:uid="{00000000-0005-0000-0000-00009B060000}"/>
    <cellStyle name="Normal 17 2 3 3" xfId="2191" xr:uid="{00000000-0005-0000-0000-00009C060000}"/>
    <cellStyle name="Normal 17 2 4" xfId="1325" xr:uid="{00000000-0005-0000-0000-00009D060000}"/>
    <cellStyle name="Normal 17 2 4 2" xfId="2614" xr:uid="{00000000-0005-0000-0000-00009E060000}"/>
    <cellStyle name="Normal 17 2 4 3" xfId="2192" xr:uid="{00000000-0005-0000-0000-00009F060000}"/>
    <cellStyle name="Normal 17 2 5" xfId="2615" xr:uid="{00000000-0005-0000-0000-0000A0060000}"/>
    <cellStyle name="Normal 17 2 6" xfId="2189" xr:uid="{00000000-0005-0000-0000-0000A1060000}"/>
    <cellStyle name="Normal 17 3" xfId="1326" xr:uid="{00000000-0005-0000-0000-0000A2060000}"/>
    <cellStyle name="Normal 17 3 2" xfId="1327" xr:uid="{00000000-0005-0000-0000-0000A3060000}"/>
    <cellStyle name="Normal 17 3 2 2" xfId="2616" xr:uid="{00000000-0005-0000-0000-0000A4060000}"/>
    <cellStyle name="Normal 17 3 2 3" xfId="2194" xr:uid="{00000000-0005-0000-0000-0000A5060000}"/>
    <cellStyle name="Normal 17 3 3" xfId="2617" xr:uid="{00000000-0005-0000-0000-0000A6060000}"/>
    <cellStyle name="Normal 17 3 4" xfId="2193" xr:uid="{00000000-0005-0000-0000-0000A7060000}"/>
    <cellStyle name="Normal 17 4" xfId="1328" xr:uid="{00000000-0005-0000-0000-0000A8060000}"/>
    <cellStyle name="Normal 17 4 2" xfId="1329" xr:uid="{00000000-0005-0000-0000-0000A9060000}"/>
    <cellStyle name="Normal 17 4 2 2" xfId="2618" xr:uid="{00000000-0005-0000-0000-0000AA060000}"/>
    <cellStyle name="Normal 17 4 2 3" xfId="2196" xr:uid="{00000000-0005-0000-0000-0000AB060000}"/>
    <cellStyle name="Normal 17 4 3" xfId="2619" xr:uid="{00000000-0005-0000-0000-0000AC060000}"/>
    <cellStyle name="Normal 17 4 4" xfId="2195" xr:uid="{00000000-0005-0000-0000-0000AD060000}"/>
    <cellStyle name="Normal 17 5" xfId="1330" xr:uid="{00000000-0005-0000-0000-0000AE060000}"/>
    <cellStyle name="Normal 17 5 2" xfId="2620" xr:uid="{00000000-0005-0000-0000-0000AF060000}"/>
    <cellStyle name="Normal 17 5 3" xfId="2197" xr:uid="{00000000-0005-0000-0000-0000B0060000}"/>
    <cellStyle name="Normal 17 6" xfId="1331" xr:uid="{00000000-0005-0000-0000-0000B1060000}"/>
    <cellStyle name="Normal 17 6 2" xfId="2621" xr:uid="{00000000-0005-0000-0000-0000B2060000}"/>
    <cellStyle name="Normal 17 6 3" xfId="2198" xr:uid="{00000000-0005-0000-0000-0000B3060000}"/>
    <cellStyle name="Normal 17 7" xfId="1332" xr:uid="{00000000-0005-0000-0000-0000B4060000}"/>
    <cellStyle name="Normal 17 7 2" xfId="2622" xr:uid="{00000000-0005-0000-0000-0000B5060000}"/>
    <cellStyle name="Normal 17 7 3" xfId="2199" xr:uid="{00000000-0005-0000-0000-0000B6060000}"/>
    <cellStyle name="Normal 17 8" xfId="1333" xr:uid="{00000000-0005-0000-0000-0000B7060000}"/>
    <cellStyle name="Normal 17 9" xfId="2623" xr:uid="{00000000-0005-0000-0000-0000B8060000}"/>
    <cellStyle name="Normal 170" xfId="2044" xr:uid="{00000000-0005-0000-0000-0000B9060000}"/>
    <cellStyle name="Normal 170 2" xfId="2341" xr:uid="{00000000-0005-0000-0000-0000BA060000}"/>
    <cellStyle name="Normal 171" xfId="2346" xr:uid="{00000000-0005-0000-0000-0000BB060000}"/>
    <cellStyle name="Normal 172" xfId="2624" xr:uid="{00000000-0005-0000-0000-0000BC060000}"/>
    <cellStyle name="Normal 173" xfId="2625" xr:uid="{00000000-0005-0000-0000-0000BD060000}"/>
    <cellStyle name="Normal 174" xfId="2626" xr:uid="{00000000-0005-0000-0000-0000BE060000}"/>
    <cellStyle name="Normal 175" xfId="2627" xr:uid="{00000000-0005-0000-0000-0000BF060000}"/>
    <cellStyle name="Normal 176" xfId="2628" xr:uid="{00000000-0005-0000-0000-0000C0060000}"/>
    <cellStyle name="Normal 177" xfId="2629" xr:uid="{00000000-0005-0000-0000-0000C1060000}"/>
    <cellStyle name="Normal 178" xfId="2630" xr:uid="{00000000-0005-0000-0000-0000C2060000}"/>
    <cellStyle name="Normal 179" xfId="2631" xr:uid="{00000000-0005-0000-0000-0000C3060000}"/>
    <cellStyle name="Normal 18" xfId="1334" xr:uid="{00000000-0005-0000-0000-0000C4060000}"/>
    <cellStyle name="Normal 18 2" xfId="1335" xr:uid="{00000000-0005-0000-0000-0000C5060000}"/>
    <cellStyle name="Normal 18 2 2" xfId="2632" xr:uid="{00000000-0005-0000-0000-0000C6060000}"/>
    <cellStyle name="Normal 18 2 3" xfId="2201" xr:uid="{00000000-0005-0000-0000-0000C7060000}"/>
    <cellStyle name="Normal 18 3" xfId="1336" xr:uid="{00000000-0005-0000-0000-0000C8060000}"/>
    <cellStyle name="Normal 18 3 2" xfId="2633" xr:uid="{00000000-0005-0000-0000-0000C9060000}"/>
    <cellStyle name="Normal 18 3 3" xfId="2202" xr:uid="{00000000-0005-0000-0000-0000CA060000}"/>
    <cellStyle name="Normal 18 4" xfId="1337" xr:uid="{00000000-0005-0000-0000-0000CB060000}"/>
    <cellStyle name="Normal 18 5" xfId="2634" xr:uid="{00000000-0005-0000-0000-0000CC060000}"/>
    <cellStyle name="Normal 18 6" xfId="2635" xr:uid="{00000000-0005-0000-0000-0000CD060000}"/>
    <cellStyle name="Normal 18 7" xfId="2200" xr:uid="{00000000-0005-0000-0000-0000CE060000}"/>
    <cellStyle name="Normal 180" xfId="2636" xr:uid="{00000000-0005-0000-0000-0000CF060000}"/>
    <cellStyle name="Normal 181" xfId="2637" xr:uid="{00000000-0005-0000-0000-0000D0060000}"/>
    <cellStyle name="Normal 182" xfId="2638" xr:uid="{00000000-0005-0000-0000-0000D1060000}"/>
    <cellStyle name="Normal 183" xfId="2639" xr:uid="{00000000-0005-0000-0000-0000D2060000}"/>
    <cellStyle name="Normal 184" xfId="2640" xr:uid="{00000000-0005-0000-0000-0000D3060000}"/>
    <cellStyle name="Normal 185" xfId="2641" xr:uid="{00000000-0005-0000-0000-0000D4060000}"/>
    <cellStyle name="Normal 186" xfId="2642" xr:uid="{00000000-0005-0000-0000-0000D5060000}"/>
    <cellStyle name="Normal 187" xfId="2643" xr:uid="{00000000-0005-0000-0000-0000D6060000}"/>
    <cellStyle name="Normal 188" xfId="2644" xr:uid="{00000000-0005-0000-0000-0000D7060000}"/>
    <cellStyle name="Normal 189" xfId="2645" xr:uid="{00000000-0005-0000-0000-0000D8060000}"/>
    <cellStyle name="Normal 19" xfId="1338" xr:uid="{00000000-0005-0000-0000-0000D9060000}"/>
    <cellStyle name="Normal 19 2" xfId="1339" xr:uid="{00000000-0005-0000-0000-0000DA060000}"/>
    <cellStyle name="Normal 19 2 2" xfId="2646" xr:uid="{00000000-0005-0000-0000-0000DB060000}"/>
    <cellStyle name="Normal 19 2 3" xfId="2204" xr:uid="{00000000-0005-0000-0000-0000DC060000}"/>
    <cellStyle name="Normal 19 3" xfId="1340" xr:uid="{00000000-0005-0000-0000-0000DD060000}"/>
    <cellStyle name="Normal 19 3 2" xfId="2647" xr:uid="{00000000-0005-0000-0000-0000DE060000}"/>
    <cellStyle name="Normal 19 3 3" xfId="2205" xr:uid="{00000000-0005-0000-0000-0000DF060000}"/>
    <cellStyle name="Normal 19 4" xfId="1341" xr:uid="{00000000-0005-0000-0000-0000E0060000}"/>
    <cellStyle name="Normal 19 5" xfId="2648" xr:uid="{00000000-0005-0000-0000-0000E1060000}"/>
    <cellStyle name="Normal 19 6" xfId="2649" xr:uid="{00000000-0005-0000-0000-0000E2060000}"/>
    <cellStyle name="Normal 19 7" xfId="2203" xr:uid="{00000000-0005-0000-0000-0000E3060000}"/>
    <cellStyle name="Normal 190" xfId="2650" xr:uid="{00000000-0005-0000-0000-0000E4060000}"/>
    <cellStyle name="Normal 191" xfId="2651" xr:uid="{00000000-0005-0000-0000-0000E5060000}"/>
    <cellStyle name="Normal 192" xfId="2652" xr:uid="{00000000-0005-0000-0000-0000E6060000}"/>
    <cellStyle name="Normal 193" xfId="2653" xr:uid="{00000000-0005-0000-0000-0000E7060000}"/>
    <cellStyle name="Normal 194" xfId="2654" xr:uid="{00000000-0005-0000-0000-0000E8060000}"/>
    <cellStyle name="Normal 195" xfId="2655" xr:uid="{00000000-0005-0000-0000-0000E9060000}"/>
    <cellStyle name="Normal 196" xfId="2656" xr:uid="{00000000-0005-0000-0000-0000EA060000}"/>
    <cellStyle name="Normal 197" xfId="2657" xr:uid="{00000000-0005-0000-0000-0000EB060000}"/>
    <cellStyle name="Normal 198" xfId="2658" xr:uid="{00000000-0005-0000-0000-0000EC060000}"/>
    <cellStyle name="Normal 199" xfId="2659" xr:uid="{00000000-0005-0000-0000-0000ED060000}"/>
    <cellStyle name="Normal 2" xfId="5" xr:uid="{00000000-0005-0000-0000-0000EE060000}"/>
    <cellStyle name="Normal 2 10" xfId="63" xr:uid="{00000000-0005-0000-0000-0000EF060000}"/>
    <cellStyle name="Normal 2 11" xfId="2660" xr:uid="{00000000-0005-0000-0000-0000F0060000}"/>
    <cellStyle name="Normal 2 12" xfId="2661" xr:uid="{00000000-0005-0000-0000-0000F1060000}"/>
    <cellStyle name="Normal 2 13" xfId="2910" xr:uid="{00000000-0005-0000-0000-0000F2060000}"/>
    <cellStyle name="Normal 2 14" xfId="80" xr:uid="{00000000-0005-0000-0000-0000F3060000}"/>
    <cellStyle name="Normal 2 15" xfId="2931" xr:uid="{00000000-0005-0000-0000-0000F4060000}"/>
    <cellStyle name="Normal 2 2" xfId="6" xr:uid="{00000000-0005-0000-0000-0000F5060000}"/>
    <cellStyle name="Normal 2 2 10" xfId="1342" xr:uid="{00000000-0005-0000-0000-0000F6060000}"/>
    <cellStyle name="Normal 2 2 11" xfId="1343" xr:uid="{00000000-0005-0000-0000-0000F7060000}"/>
    <cellStyle name="Normal 2 2 12" xfId="2134" xr:uid="{00000000-0005-0000-0000-0000F8060000}"/>
    <cellStyle name="Normal 2 2 13" xfId="89" xr:uid="{00000000-0005-0000-0000-0000F9060000}"/>
    <cellStyle name="Normal 2 2 14" xfId="2938" xr:uid="{00000000-0005-0000-0000-0000FA060000}"/>
    <cellStyle name="Normal 2 2 2" xfId="1344" xr:uid="{00000000-0005-0000-0000-0000FB060000}"/>
    <cellStyle name="Normal 2 2 2 2" xfId="1345" xr:uid="{00000000-0005-0000-0000-0000FC060000}"/>
    <cellStyle name="Normal 2 2 2 2 2" xfId="1346" xr:uid="{00000000-0005-0000-0000-0000FD060000}"/>
    <cellStyle name="Normal 2 2 2 3" xfId="1347" xr:uid="{00000000-0005-0000-0000-0000FE060000}"/>
    <cellStyle name="Normal 2 2 2 4" xfId="1348" xr:uid="{00000000-0005-0000-0000-0000FF060000}"/>
    <cellStyle name="Normal 2 2 2 5" xfId="2937" xr:uid="{00000000-0005-0000-0000-000000070000}"/>
    <cellStyle name="Normal 2 2 3" xfId="1349" xr:uid="{00000000-0005-0000-0000-000001070000}"/>
    <cellStyle name="Normal 2 2 3 2" xfId="1350" xr:uid="{00000000-0005-0000-0000-000002070000}"/>
    <cellStyle name="Normal 2 2 4" xfId="1351" xr:uid="{00000000-0005-0000-0000-000003070000}"/>
    <cellStyle name="Normal 2 2 5" xfId="1352" xr:uid="{00000000-0005-0000-0000-000004070000}"/>
    <cellStyle name="Normal 2 2 6" xfId="1353" xr:uid="{00000000-0005-0000-0000-000005070000}"/>
    <cellStyle name="Normal 2 2 7" xfId="1354" xr:uid="{00000000-0005-0000-0000-000006070000}"/>
    <cellStyle name="Normal 2 2 8" xfId="1355" xr:uid="{00000000-0005-0000-0000-000007070000}"/>
    <cellStyle name="Normal 2 2 9" xfId="1356" xr:uid="{00000000-0005-0000-0000-000008070000}"/>
    <cellStyle name="Normal 2 3" xfId="1357" xr:uid="{00000000-0005-0000-0000-000009070000}"/>
    <cellStyle name="Normal 2 3 2" xfId="1358" xr:uid="{00000000-0005-0000-0000-00000A070000}"/>
    <cellStyle name="Normal 2 3 2 2" xfId="1359" xr:uid="{00000000-0005-0000-0000-00000B070000}"/>
    <cellStyle name="Normal 2 3 3" xfId="1360" xr:uid="{00000000-0005-0000-0000-00000C070000}"/>
    <cellStyle name="Normal 2 3 3 2" xfId="1361" xr:uid="{00000000-0005-0000-0000-00000D070000}"/>
    <cellStyle name="Normal 2 3 3 2 2" xfId="1362" xr:uid="{00000000-0005-0000-0000-00000E070000}"/>
    <cellStyle name="Normal 2 3 3 3" xfId="1363" xr:uid="{00000000-0005-0000-0000-00000F070000}"/>
    <cellStyle name="Normal 2 3 4" xfId="1364" xr:uid="{00000000-0005-0000-0000-000010070000}"/>
    <cellStyle name="Normal 2 3 4 2" xfId="1365" xr:uid="{00000000-0005-0000-0000-000011070000}"/>
    <cellStyle name="Normal 2 3 5" xfId="1366" xr:uid="{00000000-0005-0000-0000-000012070000}"/>
    <cellStyle name="Normal 2 3 6" xfId="1367" xr:uid="{00000000-0005-0000-0000-000013070000}"/>
    <cellStyle name="Normal 2 3 7" xfId="2152" xr:uid="{00000000-0005-0000-0000-000014070000}"/>
    <cellStyle name="Normal 2 4" xfId="1368" xr:uid="{00000000-0005-0000-0000-000015070000}"/>
    <cellStyle name="Normal 2 4 2" xfId="1369" xr:uid="{00000000-0005-0000-0000-000016070000}"/>
    <cellStyle name="Normal 2 4 3" xfId="1370" xr:uid="{00000000-0005-0000-0000-000017070000}"/>
    <cellStyle name="Normal 2 5" xfId="1371" xr:uid="{00000000-0005-0000-0000-000018070000}"/>
    <cellStyle name="Normal 2 5 2" xfId="1372" xr:uid="{00000000-0005-0000-0000-000019070000}"/>
    <cellStyle name="Normal 2 6" xfId="1373" xr:uid="{00000000-0005-0000-0000-00001A070000}"/>
    <cellStyle name="Normal 2 6 2" xfId="1374" xr:uid="{00000000-0005-0000-0000-00001B070000}"/>
    <cellStyle name="Normal 2 7" xfId="1375" xr:uid="{00000000-0005-0000-0000-00001C070000}"/>
    <cellStyle name="Normal 2 7 2" xfId="1376" xr:uid="{00000000-0005-0000-0000-00001D070000}"/>
    <cellStyle name="Normal 2 7 2 2" xfId="2662" xr:uid="{00000000-0005-0000-0000-00001E070000}"/>
    <cellStyle name="Normal 2 7 2 3" xfId="2207" xr:uid="{00000000-0005-0000-0000-00001F070000}"/>
    <cellStyle name="Normal 2 7 3" xfId="2663" xr:uid="{00000000-0005-0000-0000-000020070000}"/>
    <cellStyle name="Normal 2 7 4" xfId="2206" xr:uid="{00000000-0005-0000-0000-000021070000}"/>
    <cellStyle name="Normal 2 8" xfId="1377" xr:uid="{00000000-0005-0000-0000-000022070000}"/>
    <cellStyle name="Normal 2 9" xfId="1378" xr:uid="{00000000-0005-0000-0000-000023070000}"/>
    <cellStyle name="Normal 2 9 2" xfId="2664" xr:uid="{00000000-0005-0000-0000-000024070000}"/>
    <cellStyle name="Normal 2 9 3" xfId="2208" xr:uid="{00000000-0005-0000-0000-000025070000}"/>
    <cellStyle name="Normal 2_GeoFis" xfId="2135" xr:uid="{00000000-0005-0000-0000-000026070000}"/>
    <cellStyle name="Normal 20" xfId="1379" xr:uid="{00000000-0005-0000-0000-000027070000}"/>
    <cellStyle name="Normal 20 2" xfId="1380" xr:uid="{00000000-0005-0000-0000-000028070000}"/>
    <cellStyle name="Normal 20 2 2" xfId="2665" xr:uid="{00000000-0005-0000-0000-000029070000}"/>
    <cellStyle name="Normal 20 2 3" xfId="2210" xr:uid="{00000000-0005-0000-0000-00002A070000}"/>
    <cellStyle name="Normal 20 3" xfId="1381" xr:uid="{00000000-0005-0000-0000-00002B070000}"/>
    <cellStyle name="Normal 20 3 2" xfId="2666" xr:uid="{00000000-0005-0000-0000-00002C070000}"/>
    <cellStyle name="Normal 20 3 3" xfId="2211" xr:uid="{00000000-0005-0000-0000-00002D070000}"/>
    <cellStyle name="Normal 20 4" xfId="1382" xr:uid="{00000000-0005-0000-0000-00002E070000}"/>
    <cellStyle name="Normal 20 5" xfId="2667" xr:uid="{00000000-0005-0000-0000-00002F070000}"/>
    <cellStyle name="Normal 20 6" xfId="2668" xr:uid="{00000000-0005-0000-0000-000030070000}"/>
    <cellStyle name="Normal 20 7" xfId="2209" xr:uid="{00000000-0005-0000-0000-000031070000}"/>
    <cellStyle name="Normal 200" xfId="2669" xr:uid="{00000000-0005-0000-0000-000032070000}"/>
    <cellStyle name="Normal 201" xfId="2670" xr:uid="{00000000-0005-0000-0000-000033070000}"/>
    <cellStyle name="Normal 202" xfId="2671" xr:uid="{00000000-0005-0000-0000-000034070000}"/>
    <cellStyle name="Normal 203" xfId="2672" xr:uid="{00000000-0005-0000-0000-000035070000}"/>
    <cellStyle name="Normal 204" xfId="2673" xr:uid="{00000000-0005-0000-0000-000036070000}"/>
    <cellStyle name="Normal 205" xfId="2674" xr:uid="{00000000-0005-0000-0000-000037070000}"/>
    <cellStyle name="Normal 206" xfId="2675" xr:uid="{00000000-0005-0000-0000-000038070000}"/>
    <cellStyle name="Normal 207" xfId="2676" xr:uid="{00000000-0005-0000-0000-000039070000}"/>
    <cellStyle name="Normal 208" xfId="2677" xr:uid="{00000000-0005-0000-0000-00003A070000}"/>
    <cellStyle name="Normal 209" xfId="2678" xr:uid="{00000000-0005-0000-0000-00003B070000}"/>
    <cellStyle name="Normal 21" xfId="1383" xr:uid="{00000000-0005-0000-0000-00003C070000}"/>
    <cellStyle name="Normal 21 2" xfId="1384" xr:uid="{00000000-0005-0000-0000-00003D070000}"/>
    <cellStyle name="Normal 21 2 2" xfId="2679" xr:uid="{00000000-0005-0000-0000-00003E070000}"/>
    <cellStyle name="Normal 21 2 3" xfId="2213" xr:uid="{00000000-0005-0000-0000-00003F070000}"/>
    <cellStyle name="Normal 21 3" xfId="1385" xr:uid="{00000000-0005-0000-0000-000040070000}"/>
    <cellStyle name="Normal 21 3 2" xfId="2680" xr:uid="{00000000-0005-0000-0000-000041070000}"/>
    <cellStyle name="Normal 21 3 3" xfId="2214" xr:uid="{00000000-0005-0000-0000-000042070000}"/>
    <cellStyle name="Normal 21 4" xfId="1386" xr:uid="{00000000-0005-0000-0000-000043070000}"/>
    <cellStyle name="Normal 21 5" xfId="2681" xr:uid="{00000000-0005-0000-0000-000044070000}"/>
    <cellStyle name="Normal 21 6" xfId="2212" xr:uid="{00000000-0005-0000-0000-000045070000}"/>
    <cellStyle name="Normal 210" xfId="2682" xr:uid="{00000000-0005-0000-0000-000046070000}"/>
    <cellStyle name="Normal 211" xfId="2683" xr:uid="{00000000-0005-0000-0000-000047070000}"/>
    <cellStyle name="Normal 212" xfId="2684" xr:uid="{00000000-0005-0000-0000-000048070000}"/>
    <cellStyle name="Normal 213" xfId="2685" xr:uid="{00000000-0005-0000-0000-000049070000}"/>
    <cellStyle name="Normal 214" xfId="2686" xr:uid="{00000000-0005-0000-0000-00004A070000}"/>
    <cellStyle name="Normal 215" xfId="2687" xr:uid="{00000000-0005-0000-0000-00004B070000}"/>
    <cellStyle name="Normal 216" xfId="2688" xr:uid="{00000000-0005-0000-0000-00004C070000}"/>
    <cellStyle name="Normal 217" xfId="2689" xr:uid="{00000000-0005-0000-0000-00004D070000}"/>
    <cellStyle name="Normal 218" xfId="2690" xr:uid="{00000000-0005-0000-0000-00004E070000}"/>
    <cellStyle name="Normal 219" xfId="2691" xr:uid="{00000000-0005-0000-0000-00004F070000}"/>
    <cellStyle name="Normal 22" xfId="1387" xr:uid="{00000000-0005-0000-0000-000050070000}"/>
    <cellStyle name="Normal 22 2" xfId="1388" xr:uid="{00000000-0005-0000-0000-000051070000}"/>
    <cellStyle name="Normal 22 2 2" xfId="2692" xr:uid="{00000000-0005-0000-0000-000052070000}"/>
    <cellStyle name="Normal 22 2 3" xfId="2216" xr:uid="{00000000-0005-0000-0000-000053070000}"/>
    <cellStyle name="Normal 22 3" xfId="1389" xr:uid="{00000000-0005-0000-0000-000054070000}"/>
    <cellStyle name="Normal 22 3 2" xfId="2693" xr:uid="{00000000-0005-0000-0000-000055070000}"/>
    <cellStyle name="Normal 22 3 3" xfId="2217" xr:uid="{00000000-0005-0000-0000-000056070000}"/>
    <cellStyle name="Normal 22 4" xfId="1390" xr:uid="{00000000-0005-0000-0000-000057070000}"/>
    <cellStyle name="Normal 22 5" xfId="2694" xr:uid="{00000000-0005-0000-0000-000058070000}"/>
    <cellStyle name="Normal 22 6" xfId="2215" xr:uid="{00000000-0005-0000-0000-000059070000}"/>
    <cellStyle name="Normal 220" xfId="2695" xr:uid="{00000000-0005-0000-0000-00005A070000}"/>
    <cellStyle name="Normal 221" xfId="2696" xr:uid="{00000000-0005-0000-0000-00005B070000}"/>
    <cellStyle name="Normal 222" xfId="2697" xr:uid="{00000000-0005-0000-0000-00005C070000}"/>
    <cellStyle name="Normal 223" xfId="2908" xr:uid="{00000000-0005-0000-0000-00005D070000}"/>
    <cellStyle name="Normal 224" xfId="2909" xr:uid="{00000000-0005-0000-0000-00005E070000}"/>
    <cellStyle name="Normal 225" xfId="2048" xr:uid="{00000000-0005-0000-0000-00005F070000}"/>
    <cellStyle name="Normal 226" xfId="2914" xr:uid="{00000000-0005-0000-0000-000060070000}"/>
    <cellStyle name="Normal 227" xfId="2047" xr:uid="{00000000-0005-0000-0000-000061070000}"/>
    <cellStyle name="Normal 228" xfId="2340" xr:uid="{00000000-0005-0000-0000-000062070000}"/>
    <cellStyle name="Normal 229" xfId="2920" xr:uid="{00000000-0005-0000-0000-000063070000}"/>
    <cellStyle name="Normal 23" xfId="1391" xr:uid="{00000000-0005-0000-0000-000064070000}"/>
    <cellStyle name="Normal 23 2" xfId="1392" xr:uid="{00000000-0005-0000-0000-000065070000}"/>
    <cellStyle name="Normal 23 2 2" xfId="2698" xr:uid="{00000000-0005-0000-0000-000066070000}"/>
    <cellStyle name="Normal 23 2 3" xfId="2219" xr:uid="{00000000-0005-0000-0000-000067070000}"/>
    <cellStyle name="Normal 23 3" xfId="1393" xr:uid="{00000000-0005-0000-0000-000068070000}"/>
    <cellStyle name="Normal 23 3 2" xfId="2699" xr:uid="{00000000-0005-0000-0000-000069070000}"/>
    <cellStyle name="Normal 23 3 3" xfId="2220" xr:uid="{00000000-0005-0000-0000-00006A070000}"/>
    <cellStyle name="Normal 23 4" xfId="1394" xr:uid="{00000000-0005-0000-0000-00006B070000}"/>
    <cellStyle name="Normal 23 5" xfId="2700" xr:uid="{00000000-0005-0000-0000-00006C070000}"/>
    <cellStyle name="Normal 23 6" xfId="2218" xr:uid="{00000000-0005-0000-0000-00006D070000}"/>
    <cellStyle name="Normal 230" xfId="2921" xr:uid="{00000000-0005-0000-0000-00006E070000}"/>
    <cellStyle name="Normal 231" xfId="2923" xr:uid="{00000000-0005-0000-0000-00006F070000}"/>
    <cellStyle name="Normal 232" xfId="67" xr:uid="{00000000-0005-0000-0000-000070070000}"/>
    <cellStyle name="Normal 233" xfId="2925" xr:uid="{00000000-0005-0000-0000-000071070000}"/>
    <cellStyle name="Normal 234" xfId="51" xr:uid="{00000000-0005-0000-0000-000072070000}"/>
    <cellStyle name="Normal 235" xfId="65" xr:uid="{00000000-0005-0000-0000-000073070000}"/>
    <cellStyle name="Normal 236" xfId="2939" xr:uid="{00000000-0005-0000-0000-000074070000}"/>
    <cellStyle name="Normal 237" xfId="2940" xr:uid="{00000000-0005-0000-0000-000075070000}"/>
    <cellStyle name="Normal 238" xfId="2941" xr:uid="{00000000-0005-0000-0000-000076070000}"/>
    <cellStyle name="Normal 239" xfId="2942" xr:uid="{00000000-0005-0000-0000-000077070000}"/>
    <cellStyle name="Normal 24" xfId="1395" xr:uid="{00000000-0005-0000-0000-000078070000}"/>
    <cellStyle name="Normal 24 2" xfId="1396" xr:uid="{00000000-0005-0000-0000-000079070000}"/>
    <cellStyle name="Normal 24 2 2" xfId="2701" xr:uid="{00000000-0005-0000-0000-00007A070000}"/>
    <cellStyle name="Normal 24 2 3" xfId="2222" xr:uid="{00000000-0005-0000-0000-00007B070000}"/>
    <cellStyle name="Normal 24 3" xfId="1397" xr:uid="{00000000-0005-0000-0000-00007C070000}"/>
    <cellStyle name="Normal 24 3 2" xfId="2702" xr:uid="{00000000-0005-0000-0000-00007D070000}"/>
    <cellStyle name="Normal 24 3 3" xfId="2223" xr:uid="{00000000-0005-0000-0000-00007E070000}"/>
    <cellStyle name="Normal 24 4" xfId="1398" xr:uid="{00000000-0005-0000-0000-00007F070000}"/>
    <cellStyle name="Normal 24 5" xfId="2703" xr:uid="{00000000-0005-0000-0000-000080070000}"/>
    <cellStyle name="Normal 24 6" xfId="2221" xr:uid="{00000000-0005-0000-0000-000081070000}"/>
    <cellStyle name="Normal 240" xfId="2943" xr:uid="{00000000-0005-0000-0000-000082070000}"/>
    <cellStyle name="Normal 241" xfId="2944" xr:uid="{00000000-0005-0000-0000-000083070000}"/>
    <cellStyle name="Normal 242" xfId="2945" xr:uid="{00000000-0005-0000-0000-000084070000}"/>
    <cellStyle name="Normal 243" xfId="2946" xr:uid="{00000000-0005-0000-0000-000085070000}"/>
    <cellStyle name="Normal 244" xfId="2947" xr:uid="{00000000-0005-0000-0000-000086070000}"/>
    <cellStyle name="Normal 245" xfId="2948" xr:uid="{00000000-0005-0000-0000-000087070000}"/>
    <cellStyle name="Normal 246" xfId="2949" xr:uid="{00000000-0005-0000-0000-000088070000}"/>
    <cellStyle name="Normal 247" xfId="2950" xr:uid="{00000000-0005-0000-0000-000089070000}"/>
    <cellStyle name="Normal 248" xfId="2951" xr:uid="{00000000-0005-0000-0000-00008A070000}"/>
    <cellStyle name="Normal 249" xfId="2952" xr:uid="{00000000-0005-0000-0000-00008B070000}"/>
    <cellStyle name="Normal 25" xfId="1399" xr:uid="{00000000-0005-0000-0000-00008C070000}"/>
    <cellStyle name="Normal 25 2" xfId="1400" xr:uid="{00000000-0005-0000-0000-00008D070000}"/>
    <cellStyle name="Normal 25 2 2" xfId="2704" xr:uid="{00000000-0005-0000-0000-00008E070000}"/>
    <cellStyle name="Normal 25 2 3" xfId="2225" xr:uid="{00000000-0005-0000-0000-00008F070000}"/>
    <cellStyle name="Normal 25 3" xfId="1401" xr:uid="{00000000-0005-0000-0000-000090070000}"/>
    <cellStyle name="Normal 25 3 2" xfId="2705" xr:uid="{00000000-0005-0000-0000-000091070000}"/>
    <cellStyle name="Normal 25 3 3" xfId="2226" xr:uid="{00000000-0005-0000-0000-000092070000}"/>
    <cellStyle name="Normal 25 4" xfId="1402" xr:uid="{00000000-0005-0000-0000-000093070000}"/>
    <cellStyle name="Normal 25 5" xfId="2706" xr:uid="{00000000-0005-0000-0000-000094070000}"/>
    <cellStyle name="Normal 25 6" xfId="2224" xr:uid="{00000000-0005-0000-0000-000095070000}"/>
    <cellStyle name="Normal 250" xfId="2953" xr:uid="{00000000-0005-0000-0000-000096070000}"/>
    <cellStyle name="Normal 251" xfId="2954" xr:uid="{00000000-0005-0000-0000-000097070000}"/>
    <cellStyle name="Normal 252" xfId="2955" xr:uid="{00000000-0005-0000-0000-000098070000}"/>
    <cellStyle name="Normal 253" xfId="2956" xr:uid="{00000000-0005-0000-0000-000099070000}"/>
    <cellStyle name="Normal 254" xfId="2957" xr:uid="{00000000-0005-0000-0000-00009A070000}"/>
    <cellStyle name="Normal 255" xfId="2958" xr:uid="{00000000-0005-0000-0000-00009B070000}"/>
    <cellStyle name="Normal 256" xfId="2959" xr:uid="{00000000-0005-0000-0000-00009C070000}"/>
    <cellStyle name="Normal 257" xfId="2960" xr:uid="{00000000-0005-0000-0000-00009D070000}"/>
    <cellStyle name="Normal 258" xfId="2961" xr:uid="{00000000-0005-0000-0000-00009E070000}"/>
    <cellStyle name="Normal 259" xfId="2962" xr:uid="{00000000-0005-0000-0000-00009F070000}"/>
    <cellStyle name="Normal 26" xfId="1403" xr:uid="{00000000-0005-0000-0000-0000A0070000}"/>
    <cellStyle name="Normal 26 2" xfId="1404" xr:uid="{00000000-0005-0000-0000-0000A1070000}"/>
    <cellStyle name="Normal 26 2 2" xfId="2707" xr:uid="{00000000-0005-0000-0000-0000A2070000}"/>
    <cellStyle name="Normal 26 2 3" xfId="2228" xr:uid="{00000000-0005-0000-0000-0000A3070000}"/>
    <cellStyle name="Normal 26 3" xfId="1405" xr:uid="{00000000-0005-0000-0000-0000A4070000}"/>
    <cellStyle name="Normal 26 3 2" xfId="2708" xr:uid="{00000000-0005-0000-0000-0000A5070000}"/>
    <cellStyle name="Normal 26 3 3" xfId="2229" xr:uid="{00000000-0005-0000-0000-0000A6070000}"/>
    <cellStyle name="Normal 26 4" xfId="1406" xr:uid="{00000000-0005-0000-0000-0000A7070000}"/>
    <cellStyle name="Normal 26 5" xfId="2709" xr:uid="{00000000-0005-0000-0000-0000A8070000}"/>
    <cellStyle name="Normal 26 6" xfId="2227" xr:uid="{00000000-0005-0000-0000-0000A9070000}"/>
    <cellStyle name="Normal 260" xfId="2963" xr:uid="{00000000-0005-0000-0000-0000AA070000}"/>
    <cellStyle name="Normal 261" xfId="2964" xr:uid="{00000000-0005-0000-0000-0000AB070000}"/>
    <cellStyle name="Normal 262" xfId="2965" xr:uid="{00000000-0005-0000-0000-0000AC070000}"/>
    <cellStyle name="Normal 27" xfId="1407" xr:uid="{00000000-0005-0000-0000-0000AD070000}"/>
    <cellStyle name="Normal 27 2" xfId="1408" xr:uid="{00000000-0005-0000-0000-0000AE070000}"/>
    <cellStyle name="Normal 27 2 2" xfId="2710" xr:uid="{00000000-0005-0000-0000-0000AF070000}"/>
    <cellStyle name="Normal 27 2 3" xfId="2231" xr:uid="{00000000-0005-0000-0000-0000B0070000}"/>
    <cellStyle name="Normal 27 3" xfId="1409" xr:uid="{00000000-0005-0000-0000-0000B1070000}"/>
    <cellStyle name="Normal 27 3 2" xfId="2711" xr:uid="{00000000-0005-0000-0000-0000B2070000}"/>
    <cellStyle name="Normal 27 3 3" xfId="2232" xr:uid="{00000000-0005-0000-0000-0000B3070000}"/>
    <cellStyle name="Normal 27 4" xfId="1410" xr:uid="{00000000-0005-0000-0000-0000B4070000}"/>
    <cellStyle name="Normal 27 5" xfId="2712" xr:uid="{00000000-0005-0000-0000-0000B5070000}"/>
    <cellStyle name="Normal 27 6" xfId="2230" xr:uid="{00000000-0005-0000-0000-0000B6070000}"/>
    <cellStyle name="Normal 28" xfId="1411" xr:uid="{00000000-0005-0000-0000-0000B7070000}"/>
    <cellStyle name="Normal 28 2" xfId="1412" xr:uid="{00000000-0005-0000-0000-0000B8070000}"/>
    <cellStyle name="Normal 28 2 2" xfId="2713" xr:uid="{00000000-0005-0000-0000-0000B9070000}"/>
    <cellStyle name="Normal 28 2 3" xfId="2234" xr:uid="{00000000-0005-0000-0000-0000BA070000}"/>
    <cellStyle name="Normal 28 3" xfId="1413" xr:uid="{00000000-0005-0000-0000-0000BB070000}"/>
    <cellStyle name="Normal 28 3 2" xfId="2714" xr:uid="{00000000-0005-0000-0000-0000BC070000}"/>
    <cellStyle name="Normal 28 3 3" xfId="2235" xr:uid="{00000000-0005-0000-0000-0000BD070000}"/>
    <cellStyle name="Normal 28 4" xfId="1414" xr:uid="{00000000-0005-0000-0000-0000BE070000}"/>
    <cellStyle name="Normal 28 5" xfId="2715" xr:uid="{00000000-0005-0000-0000-0000BF070000}"/>
    <cellStyle name="Normal 28 6" xfId="2233" xr:uid="{00000000-0005-0000-0000-0000C0070000}"/>
    <cellStyle name="Normal 29" xfId="1415" xr:uid="{00000000-0005-0000-0000-0000C1070000}"/>
    <cellStyle name="Normal 29 2" xfId="1416" xr:uid="{00000000-0005-0000-0000-0000C2070000}"/>
    <cellStyle name="Normal 29 2 2" xfId="2716" xr:uid="{00000000-0005-0000-0000-0000C3070000}"/>
    <cellStyle name="Normal 29 2 3" xfId="2237" xr:uid="{00000000-0005-0000-0000-0000C4070000}"/>
    <cellStyle name="Normal 29 3" xfId="1417" xr:uid="{00000000-0005-0000-0000-0000C5070000}"/>
    <cellStyle name="Normal 29 3 2" xfId="2717" xr:uid="{00000000-0005-0000-0000-0000C6070000}"/>
    <cellStyle name="Normal 29 3 3" xfId="2238" xr:uid="{00000000-0005-0000-0000-0000C7070000}"/>
    <cellStyle name="Normal 29 4" xfId="1418" xr:uid="{00000000-0005-0000-0000-0000C8070000}"/>
    <cellStyle name="Normal 29 5" xfId="2718" xr:uid="{00000000-0005-0000-0000-0000C9070000}"/>
    <cellStyle name="Normal 29 6" xfId="2236" xr:uid="{00000000-0005-0000-0000-0000CA070000}"/>
    <cellStyle name="Normal 3" xfId="2" xr:uid="{00000000-0005-0000-0000-0000CB070000}"/>
    <cellStyle name="Normal 3 10" xfId="1419" xr:uid="{00000000-0005-0000-0000-0000CC070000}"/>
    <cellStyle name="Normal 3 11" xfId="1420" xr:uid="{00000000-0005-0000-0000-0000CD070000}"/>
    <cellStyle name="Normal 3 12" xfId="2719" xr:uid="{00000000-0005-0000-0000-0000CE070000}"/>
    <cellStyle name="Normal 3 13" xfId="2720" xr:uid="{00000000-0005-0000-0000-0000CF070000}"/>
    <cellStyle name="Normal 3 14" xfId="2911" xr:uid="{00000000-0005-0000-0000-0000D0070000}"/>
    <cellStyle name="Normal 3 15" xfId="2136" xr:uid="{00000000-0005-0000-0000-0000D1070000}"/>
    <cellStyle name="Normal 3 16" xfId="81" xr:uid="{00000000-0005-0000-0000-0000D2070000}"/>
    <cellStyle name="Normal 3 17" xfId="54" xr:uid="{00000000-0005-0000-0000-0000D3070000}"/>
    <cellStyle name="Normal 3 18" xfId="2927" xr:uid="{00000000-0005-0000-0000-0000D4070000}"/>
    <cellStyle name="Normal 3 2" xfId="1421" xr:uid="{00000000-0005-0000-0000-0000D5070000}"/>
    <cellStyle name="Normal 3 2 2" xfId="1422" xr:uid="{00000000-0005-0000-0000-0000D6070000}"/>
    <cellStyle name="Normal 3 2 3" xfId="1423" xr:uid="{00000000-0005-0000-0000-0000D7070000}"/>
    <cellStyle name="Normal 3 2 4" xfId="2137" xr:uid="{00000000-0005-0000-0000-0000D8070000}"/>
    <cellStyle name="Normal 3 2 5" xfId="2934" xr:uid="{00000000-0005-0000-0000-0000D9070000}"/>
    <cellStyle name="Normal 3 3" xfId="1424" xr:uid="{00000000-0005-0000-0000-0000DA070000}"/>
    <cellStyle name="Normal 3 3 2" xfId="1425" xr:uid="{00000000-0005-0000-0000-0000DB070000}"/>
    <cellStyle name="Normal 3 3 2 2" xfId="1426" xr:uid="{00000000-0005-0000-0000-0000DC070000}"/>
    <cellStyle name="Normal 3 3 3" xfId="1427" xr:uid="{00000000-0005-0000-0000-0000DD070000}"/>
    <cellStyle name="Normal 3 4" xfId="1428" xr:uid="{00000000-0005-0000-0000-0000DE070000}"/>
    <cellStyle name="Normal 3 4 2" xfId="1429" xr:uid="{00000000-0005-0000-0000-0000DF070000}"/>
    <cellStyle name="Normal 3 4 2 2" xfId="1430" xr:uid="{00000000-0005-0000-0000-0000E0070000}"/>
    <cellStyle name="Normal 3 4 2 2 2" xfId="2721" xr:uid="{00000000-0005-0000-0000-0000E1070000}"/>
    <cellStyle name="Normal 3 4 2 2 3" xfId="2240" xr:uid="{00000000-0005-0000-0000-0000E2070000}"/>
    <cellStyle name="Normal 3 4 2 3" xfId="1431" xr:uid="{00000000-0005-0000-0000-0000E3070000}"/>
    <cellStyle name="Normal 3 4 2 3 2" xfId="2722" xr:uid="{00000000-0005-0000-0000-0000E4070000}"/>
    <cellStyle name="Normal 3 4 2 3 3" xfId="2241" xr:uid="{00000000-0005-0000-0000-0000E5070000}"/>
    <cellStyle name="Normal 3 4 2 4" xfId="2723" xr:uid="{00000000-0005-0000-0000-0000E6070000}"/>
    <cellStyle name="Normal 3 4 2 5" xfId="2239" xr:uid="{00000000-0005-0000-0000-0000E7070000}"/>
    <cellStyle name="Normal 3 4 3" xfId="1432" xr:uid="{00000000-0005-0000-0000-0000E8070000}"/>
    <cellStyle name="Normal 3 4 3 2" xfId="2724" xr:uid="{00000000-0005-0000-0000-0000E9070000}"/>
    <cellStyle name="Normal 3 4 3 3" xfId="2242" xr:uid="{00000000-0005-0000-0000-0000EA070000}"/>
    <cellStyle name="Normal 3 4 4" xfId="1433" xr:uid="{00000000-0005-0000-0000-0000EB070000}"/>
    <cellStyle name="Normal 3 5" xfId="1434" xr:uid="{00000000-0005-0000-0000-0000EC070000}"/>
    <cellStyle name="Normal 3 5 2" xfId="1435" xr:uid="{00000000-0005-0000-0000-0000ED070000}"/>
    <cellStyle name="Normal 3 5 2 2" xfId="2725" xr:uid="{00000000-0005-0000-0000-0000EE070000}"/>
    <cellStyle name="Normal 3 5 2 3" xfId="2244" xr:uid="{00000000-0005-0000-0000-0000EF070000}"/>
    <cellStyle name="Normal 3 5 3" xfId="1436" xr:uid="{00000000-0005-0000-0000-0000F0070000}"/>
    <cellStyle name="Normal 3 5 3 2" xfId="2726" xr:uid="{00000000-0005-0000-0000-0000F1070000}"/>
    <cellStyle name="Normal 3 5 3 3" xfId="2245" xr:uid="{00000000-0005-0000-0000-0000F2070000}"/>
    <cellStyle name="Normal 3 5 4" xfId="2727" xr:uid="{00000000-0005-0000-0000-0000F3070000}"/>
    <cellStyle name="Normal 3 5 5" xfId="2243" xr:uid="{00000000-0005-0000-0000-0000F4070000}"/>
    <cellStyle name="Normal 3 6" xfId="1437" xr:uid="{00000000-0005-0000-0000-0000F5070000}"/>
    <cellStyle name="Normal 3 6 2" xfId="1438" xr:uid="{00000000-0005-0000-0000-0000F6070000}"/>
    <cellStyle name="Normal 3 7" xfId="1439" xr:uid="{00000000-0005-0000-0000-0000F7070000}"/>
    <cellStyle name="Normal 3 8" xfId="1440" xr:uid="{00000000-0005-0000-0000-0000F8070000}"/>
    <cellStyle name="Normal 3 9" xfId="1441" xr:uid="{00000000-0005-0000-0000-0000F9070000}"/>
    <cellStyle name="Normal 3_cash flow" xfId="2138" xr:uid="{00000000-0005-0000-0000-0000FA070000}"/>
    <cellStyle name="Normal 30" xfId="1442" xr:uid="{00000000-0005-0000-0000-0000FB070000}"/>
    <cellStyle name="Normal 30 2" xfId="1443" xr:uid="{00000000-0005-0000-0000-0000FC070000}"/>
    <cellStyle name="Normal 30 2 2" xfId="2728" xr:uid="{00000000-0005-0000-0000-0000FD070000}"/>
    <cellStyle name="Normal 30 2 3" xfId="2247" xr:uid="{00000000-0005-0000-0000-0000FE070000}"/>
    <cellStyle name="Normal 30 3" xfId="1444" xr:uid="{00000000-0005-0000-0000-0000FF070000}"/>
    <cellStyle name="Normal 30 3 2" xfId="2729" xr:uid="{00000000-0005-0000-0000-000000080000}"/>
    <cellStyle name="Normal 30 3 3" xfId="2248" xr:uid="{00000000-0005-0000-0000-000001080000}"/>
    <cellStyle name="Normal 30 4" xfId="1445" xr:uid="{00000000-0005-0000-0000-000002080000}"/>
    <cellStyle name="Normal 30 5" xfId="2730" xr:uid="{00000000-0005-0000-0000-000003080000}"/>
    <cellStyle name="Normal 30 6" xfId="2246" xr:uid="{00000000-0005-0000-0000-000004080000}"/>
    <cellStyle name="Normal 31" xfId="1446" xr:uid="{00000000-0005-0000-0000-000005080000}"/>
    <cellStyle name="Normal 31 2" xfId="1447" xr:uid="{00000000-0005-0000-0000-000006080000}"/>
    <cellStyle name="Normal 31 2 2" xfId="2731" xr:uid="{00000000-0005-0000-0000-000007080000}"/>
    <cellStyle name="Normal 31 2 3" xfId="2250" xr:uid="{00000000-0005-0000-0000-000008080000}"/>
    <cellStyle name="Normal 31 3" xfId="1448" xr:uid="{00000000-0005-0000-0000-000009080000}"/>
    <cellStyle name="Normal 31 3 2" xfId="2732" xr:uid="{00000000-0005-0000-0000-00000A080000}"/>
    <cellStyle name="Normal 31 3 3" xfId="2251" xr:uid="{00000000-0005-0000-0000-00000B080000}"/>
    <cellStyle name="Normal 31 4" xfId="1449" xr:uid="{00000000-0005-0000-0000-00000C080000}"/>
    <cellStyle name="Normal 31 5" xfId="2733" xr:uid="{00000000-0005-0000-0000-00000D080000}"/>
    <cellStyle name="Normal 31 6" xfId="2249" xr:uid="{00000000-0005-0000-0000-00000E080000}"/>
    <cellStyle name="Normal 32" xfId="1450" xr:uid="{00000000-0005-0000-0000-00000F080000}"/>
    <cellStyle name="Normal 32 2" xfId="1451" xr:uid="{00000000-0005-0000-0000-000010080000}"/>
    <cellStyle name="Normal 32 2 2" xfId="2734" xr:uid="{00000000-0005-0000-0000-000011080000}"/>
    <cellStyle name="Normal 32 2 3" xfId="2253" xr:uid="{00000000-0005-0000-0000-000012080000}"/>
    <cellStyle name="Normal 32 3" xfId="1452" xr:uid="{00000000-0005-0000-0000-000013080000}"/>
    <cellStyle name="Normal 32 3 2" xfId="2735" xr:uid="{00000000-0005-0000-0000-000014080000}"/>
    <cellStyle name="Normal 32 3 3" xfId="2254" xr:uid="{00000000-0005-0000-0000-000015080000}"/>
    <cellStyle name="Normal 32 4" xfId="1453" xr:uid="{00000000-0005-0000-0000-000016080000}"/>
    <cellStyle name="Normal 32 5" xfId="2736" xr:uid="{00000000-0005-0000-0000-000017080000}"/>
    <cellStyle name="Normal 32 6" xfId="2252" xr:uid="{00000000-0005-0000-0000-000018080000}"/>
    <cellStyle name="Normal 33" xfId="1454" xr:uid="{00000000-0005-0000-0000-000019080000}"/>
    <cellStyle name="Normal 33 2" xfId="1455" xr:uid="{00000000-0005-0000-0000-00001A080000}"/>
    <cellStyle name="Normal 33 2 2" xfId="2737" xr:uid="{00000000-0005-0000-0000-00001B080000}"/>
    <cellStyle name="Normal 33 2 3" xfId="2256" xr:uid="{00000000-0005-0000-0000-00001C080000}"/>
    <cellStyle name="Normal 33 3" xfId="1456" xr:uid="{00000000-0005-0000-0000-00001D080000}"/>
    <cellStyle name="Normal 33 3 2" xfId="2738" xr:uid="{00000000-0005-0000-0000-00001E080000}"/>
    <cellStyle name="Normal 33 3 3" xfId="2257" xr:uid="{00000000-0005-0000-0000-00001F080000}"/>
    <cellStyle name="Normal 33 4" xfId="1457" xr:uid="{00000000-0005-0000-0000-000020080000}"/>
    <cellStyle name="Normal 33 5" xfId="2739" xr:uid="{00000000-0005-0000-0000-000021080000}"/>
    <cellStyle name="Normal 33 6" xfId="2255" xr:uid="{00000000-0005-0000-0000-000022080000}"/>
    <cellStyle name="Normal 34" xfId="1458" xr:uid="{00000000-0005-0000-0000-000023080000}"/>
    <cellStyle name="Normal 34 2" xfId="1459" xr:uid="{00000000-0005-0000-0000-000024080000}"/>
    <cellStyle name="Normal 34 2 2" xfId="2740" xr:uid="{00000000-0005-0000-0000-000025080000}"/>
    <cellStyle name="Normal 34 2 3" xfId="2259" xr:uid="{00000000-0005-0000-0000-000026080000}"/>
    <cellStyle name="Normal 34 3" xfId="1460" xr:uid="{00000000-0005-0000-0000-000027080000}"/>
    <cellStyle name="Normal 34 3 2" xfId="2741" xr:uid="{00000000-0005-0000-0000-000028080000}"/>
    <cellStyle name="Normal 34 3 3" xfId="2260" xr:uid="{00000000-0005-0000-0000-000029080000}"/>
    <cellStyle name="Normal 34 4" xfId="1461" xr:uid="{00000000-0005-0000-0000-00002A080000}"/>
    <cellStyle name="Normal 34 5" xfId="2742" xr:uid="{00000000-0005-0000-0000-00002B080000}"/>
    <cellStyle name="Normal 34 6" xfId="2258" xr:uid="{00000000-0005-0000-0000-00002C080000}"/>
    <cellStyle name="Normal 35" xfId="1462" xr:uid="{00000000-0005-0000-0000-00002D080000}"/>
    <cellStyle name="Normal 35 2" xfId="1463" xr:uid="{00000000-0005-0000-0000-00002E080000}"/>
    <cellStyle name="Normal 35 2 2" xfId="2743" xr:uid="{00000000-0005-0000-0000-00002F080000}"/>
    <cellStyle name="Normal 35 2 3" xfId="2262" xr:uid="{00000000-0005-0000-0000-000030080000}"/>
    <cellStyle name="Normal 35 3" xfId="1464" xr:uid="{00000000-0005-0000-0000-000031080000}"/>
    <cellStyle name="Normal 35 3 2" xfId="2744" xr:uid="{00000000-0005-0000-0000-000032080000}"/>
    <cellStyle name="Normal 35 3 3" xfId="2263" xr:uid="{00000000-0005-0000-0000-000033080000}"/>
    <cellStyle name="Normal 35 4" xfId="1465" xr:uid="{00000000-0005-0000-0000-000034080000}"/>
    <cellStyle name="Normal 35 5" xfId="2745" xr:uid="{00000000-0005-0000-0000-000035080000}"/>
    <cellStyle name="Normal 35 6" xfId="2261" xr:uid="{00000000-0005-0000-0000-000036080000}"/>
    <cellStyle name="Normal 358" xfId="2924" xr:uid="{00000000-0005-0000-0000-000037080000}"/>
    <cellStyle name="Normal 36" xfId="1466" xr:uid="{00000000-0005-0000-0000-000038080000}"/>
    <cellStyle name="Normal 36 2" xfId="1467" xr:uid="{00000000-0005-0000-0000-000039080000}"/>
    <cellStyle name="Normal 36 2 2" xfId="2746" xr:uid="{00000000-0005-0000-0000-00003A080000}"/>
    <cellStyle name="Normal 36 2 3" xfId="2265" xr:uid="{00000000-0005-0000-0000-00003B080000}"/>
    <cellStyle name="Normal 36 3" xfId="1468" xr:uid="{00000000-0005-0000-0000-00003C080000}"/>
    <cellStyle name="Normal 36 3 2" xfId="2747" xr:uid="{00000000-0005-0000-0000-00003D080000}"/>
    <cellStyle name="Normal 36 3 3" xfId="2266" xr:uid="{00000000-0005-0000-0000-00003E080000}"/>
    <cellStyle name="Normal 36 4" xfId="1469" xr:uid="{00000000-0005-0000-0000-00003F080000}"/>
    <cellStyle name="Normal 36 5" xfId="2748" xr:uid="{00000000-0005-0000-0000-000040080000}"/>
    <cellStyle name="Normal 36 6" xfId="2264" xr:uid="{00000000-0005-0000-0000-000041080000}"/>
    <cellStyle name="Normal 363" xfId="61" xr:uid="{00000000-0005-0000-0000-000042080000}"/>
    <cellStyle name="Normal 365" xfId="62" xr:uid="{00000000-0005-0000-0000-000043080000}"/>
    <cellStyle name="Normal 37" xfId="1470" xr:uid="{00000000-0005-0000-0000-000044080000}"/>
    <cellStyle name="Normal 37 2" xfId="1471" xr:uid="{00000000-0005-0000-0000-000045080000}"/>
    <cellStyle name="Normal 37 2 2" xfId="2749" xr:uid="{00000000-0005-0000-0000-000046080000}"/>
    <cellStyle name="Normal 37 2 3" xfId="2268" xr:uid="{00000000-0005-0000-0000-000047080000}"/>
    <cellStyle name="Normal 37 3" xfId="1472" xr:uid="{00000000-0005-0000-0000-000048080000}"/>
    <cellStyle name="Normal 37 3 2" xfId="2750" xr:uid="{00000000-0005-0000-0000-000049080000}"/>
    <cellStyle name="Normal 37 3 3" xfId="2269" xr:uid="{00000000-0005-0000-0000-00004A080000}"/>
    <cellStyle name="Normal 37 4" xfId="1473" xr:uid="{00000000-0005-0000-0000-00004B080000}"/>
    <cellStyle name="Normal 37 5" xfId="2751" xr:uid="{00000000-0005-0000-0000-00004C080000}"/>
    <cellStyle name="Normal 37 6" xfId="2267" xr:uid="{00000000-0005-0000-0000-00004D080000}"/>
    <cellStyle name="Normal 38" xfId="1474" xr:uid="{00000000-0005-0000-0000-00004E080000}"/>
    <cellStyle name="Normal 38 2" xfId="1475" xr:uid="{00000000-0005-0000-0000-00004F080000}"/>
    <cellStyle name="Normal 38 2 2" xfId="2752" xr:uid="{00000000-0005-0000-0000-000050080000}"/>
    <cellStyle name="Normal 38 2 3" xfId="2271" xr:uid="{00000000-0005-0000-0000-000051080000}"/>
    <cellStyle name="Normal 38 3" xfId="1476" xr:uid="{00000000-0005-0000-0000-000052080000}"/>
    <cellStyle name="Normal 38 3 2" xfId="2753" xr:uid="{00000000-0005-0000-0000-000053080000}"/>
    <cellStyle name="Normal 38 3 3" xfId="2272" xr:uid="{00000000-0005-0000-0000-000054080000}"/>
    <cellStyle name="Normal 38 4" xfId="1477" xr:uid="{00000000-0005-0000-0000-000055080000}"/>
    <cellStyle name="Normal 38 5" xfId="2754" xr:uid="{00000000-0005-0000-0000-000056080000}"/>
    <cellStyle name="Normal 38 6" xfId="2270" xr:uid="{00000000-0005-0000-0000-000057080000}"/>
    <cellStyle name="Normal 39" xfId="1478" xr:uid="{00000000-0005-0000-0000-000058080000}"/>
    <cellStyle name="Normal 39 2" xfId="1479" xr:uid="{00000000-0005-0000-0000-000059080000}"/>
    <cellStyle name="Normal 39 2 2" xfId="2755" xr:uid="{00000000-0005-0000-0000-00005A080000}"/>
    <cellStyle name="Normal 39 2 3" xfId="2274" xr:uid="{00000000-0005-0000-0000-00005B080000}"/>
    <cellStyle name="Normal 39 3" xfId="1480" xr:uid="{00000000-0005-0000-0000-00005C080000}"/>
    <cellStyle name="Normal 39 3 2" xfId="2756" xr:uid="{00000000-0005-0000-0000-00005D080000}"/>
    <cellStyle name="Normal 39 3 3" xfId="2275" xr:uid="{00000000-0005-0000-0000-00005E080000}"/>
    <cellStyle name="Normal 39 4" xfId="1481" xr:uid="{00000000-0005-0000-0000-00005F080000}"/>
    <cellStyle name="Normal 39 5" xfId="2757" xr:uid="{00000000-0005-0000-0000-000060080000}"/>
    <cellStyle name="Normal 39 6" xfId="2273" xr:uid="{00000000-0005-0000-0000-000061080000}"/>
    <cellStyle name="Normal 4" xfId="7" xr:uid="{00000000-0005-0000-0000-000062080000}"/>
    <cellStyle name="Normal 4 10" xfId="1482" xr:uid="{00000000-0005-0000-0000-000063080000}"/>
    <cellStyle name="Normal 4 11" xfId="1483" xr:uid="{00000000-0005-0000-0000-000064080000}"/>
    <cellStyle name="Normal 4 12" xfId="2758" xr:uid="{00000000-0005-0000-0000-000065080000}"/>
    <cellStyle name="Normal 4 13" xfId="2139" xr:uid="{00000000-0005-0000-0000-000066080000}"/>
    <cellStyle name="Normal 4 14" xfId="82" xr:uid="{00000000-0005-0000-0000-000067080000}"/>
    <cellStyle name="Normal 4 15" xfId="2930" xr:uid="{00000000-0005-0000-0000-000068080000}"/>
    <cellStyle name="Normal 4 2" xfId="1484" xr:uid="{00000000-0005-0000-0000-000069080000}"/>
    <cellStyle name="Normal 4 2 2" xfId="1485" xr:uid="{00000000-0005-0000-0000-00006A080000}"/>
    <cellStyle name="Normal 4 2 2 2" xfId="1486" xr:uid="{00000000-0005-0000-0000-00006B080000}"/>
    <cellStyle name="Normal 4 2 3" xfId="1487" xr:uid="{00000000-0005-0000-0000-00006C080000}"/>
    <cellStyle name="Normal 4 2 3 2" xfId="1488" xr:uid="{00000000-0005-0000-0000-00006D080000}"/>
    <cellStyle name="Normal 4 2 4" xfId="1489" xr:uid="{00000000-0005-0000-0000-00006E080000}"/>
    <cellStyle name="Normal 4 2 5" xfId="2935" xr:uid="{00000000-0005-0000-0000-00006F080000}"/>
    <cellStyle name="Normal 4 3" xfId="1490" xr:uid="{00000000-0005-0000-0000-000070080000}"/>
    <cellStyle name="Normal 4 3 2" xfId="1491" xr:uid="{00000000-0005-0000-0000-000071080000}"/>
    <cellStyle name="Normal 4 3 2 2" xfId="1492" xr:uid="{00000000-0005-0000-0000-000072080000}"/>
    <cellStyle name="Normal 4 3 3" xfId="1493" xr:uid="{00000000-0005-0000-0000-000073080000}"/>
    <cellStyle name="Normal 4 4" xfId="1494" xr:uid="{00000000-0005-0000-0000-000074080000}"/>
    <cellStyle name="Normal 4 4 2" xfId="1495" xr:uid="{00000000-0005-0000-0000-000075080000}"/>
    <cellStyle name="Normal 4 4 3" xfId="1496" xr:uid="{00000000-0005-0000-0000-000076080000}"/>
    <cellStyle name="Normal 4 5" xfId="1497" xr:uid="{00000000-0005-0000-0000-000077080000}"/>
    <cellStyle name="Normal 4 5 2" xfId="1498" xr:uid="{00000000-0005-0000-0000-000078080000}"/>
    <cellStyle name="Normal 4 6" xfId="1499" xr:uid="{00000000-0005-0000-0000-000079080000}"/>
    <cellStyle name="Normal 4 7" xfId="1500" xr:uid="{00000000-0005-0000-0000-00007A080000}"/>
    <cellStyle name="Normal 4 8" xfId="1501" xr:uid="{00000000-0005-0000-0000-00007B080000}"/>
    <cellStyle name="Normal 4 9" xfId="1502" xr:uid="{00000000-0005-0000-0000-00007C080000}"/>
    <cellStyle name="Normal 40" xfId="1503" xr:uid="{00000000-0005-0000-0000-00007D080000}"/>
    <cellStyle name="Normal 40 2" xfId="1504" xr:uid="{00000000-0005-0000-0000-00007E080000}"/>
    <cellStyle name="Normal 40 2 2" xfId="2759" xr:uid="{00000000-0005-0000-0000-00007F080000}"/>
    <cellStyle name="Normal 40 2 3" xfId="2277" xr:uid="{00000000-0005-0000-0000-000080080000}"/>
    <cellStyle name="Normal 40 3" xfId="1505" xr:uid="{00000000-0005-0000-0000-000081080000}"/>
    <cellStyle name="Normal 40 3 2" xfId="2760" xr:uid="{00000000-0005-0000-0000-000082080000}"/>
    <cellStyle name="Normal 40 3 3" xfId="2278" xr:uid="{00000000-0005-0000-0000-000083080000}"/>
    <cellStyle name="Normal 40 4" xfId="1506" xr:uid="{00000000-0005-0000-0000-000084080000}"/>
    <cellStyle name="Normal 40 5" xfId="2761" xr:uid="{00000000-0005-0000-0000-000085080000}"/>
    <cellStyle name="Normal 40 6" xfId="2276" xr:uid="{00000000-0005-0000-0000-000086080000}"/>
    <cellStyle name="Normal 41" xfId="1507" xr:uid="{00000000-0005-0000-0000-000087080000}"/>
    <cellStyle name="Normal 41 2" xfId="1508" xr:uid="{00000000-0005-0000-0000-000088080000}"/>
    <cellStyle name="Normal 41 2 2" xfId="2762" xr:uid="{00000000-0005-0000-0000-000089080000}"/>
    <cellStyle name="Normal 41 2 3" xfId="2280" xr:uid="{00000000-0005-0000-0000-00008A080000}"/>
    <cellStyle name="Normal 41 3" xfId="1509" xr:uid="{00000000-0005-0000-0000-00008B080000}"/>
    <cellStyle name="Normal 41 3 2" xfId="2763" xr:uid="{00000000-0005-0000-0000-00008C080000}"/>
    <cellStyle name="Normal 41 3 3" xfId="2281" xr:uid="{00000000-0005-0000-0000-00008D080000}"/>
    <cellStyle name="Normal 41 4" xfId="1510" xr:uid="{00000000-0005-0000-0000-00008E080000}"/>
    <cellStyle name="Normal 41 5" xfId="2764" xr:uid="{00000000-0005-0000-0000-00008F080000}"/>
    <cellStyle name="Normal 41 6" xfId="2279" xr:uid="{00000000-0005-0000-0000-000090080000}"/>
    <cellStyle name="Normal 42" xfId="1511" xr:uid="{00000000-0005-0000-0000-000091080000}"/>
    <cellStyle name="Normal 42 2" xfId="1512" xr:uid="{00000000-0005-0000-0000-000092080000}"/>
    <cellStyle name="Normal 42 2 2" xfId="2765" xr:uid="{00000000-0005-0000-0000-000093080000}"/>
    <cellStyle name="Normal 42 2 3" xfId="2283" xr:uid="{00000000-0005-0000-0000-000094080000}"/>
    <cellStyle name="Normal 42 3" xfId="1513" xr:uid="{00000000-0005-0000-0000-000095080000}"/>
    <cellStyle name="Normal 42 3 2" xfId="2766" xr:uid="{00000000-0005-0000-0000-000096080000}"/>
    <cellStyle name="Normal 42 3 3" xfId="2284" xr:uid="{00000000-0005-0000-0000-000097080000}"/>
    <cellStyle name="Normal 42 4" xfId="1514" xr:uid="{00000000-0005-0000-0000-000098080000}"/>
    <cellStyle name="Normal 42 5" xfId="2767" xr:uid="{00000000-0005-0000-0000-000099080000}"/>
    <cellStyle name="Normal 42 6" xfId="2282" xr:uid="{00000000-0005-0000-0000-00009A080000}"/>
    <cellStyle name="Normal 43" xfId="1515" xr:uid="{00000000-0005-0000-0000-00009B080000}"/>
    <cellStyle name="Normal 43 2" xfId="1516" xr:uid="{00000000-0005-0000-0000-00009C080000}"/>
    <cellStyle name="Normal 43 2 2" xfId="2768" xr:uid="{00000000-0005-0000-0000-00009D080000}"/>
    <cellStyle name="Normal 43 2 3" xfId="2286" xr:uid="{00000000-0005-0000-0000-00009E080000}"/>
    <cellStyle name="Normal 43 3" xfId="1517" xr:uid="{00000000-0005-0000-0000-00009F080000}"/>
    <cellStyle name="Normal 43 3 2" xfId="2769" xr:uid="{00000000-0005-0000-0000-0000A0080000}"/>
    <cellStyle name="Normal 43 3 3" xfId="2287" xr:uid="{00000000-0005-0000-0000-0000A1080000}"/>
    <cellStyle name="Normal 43 4" xfId="1518" xr:uid="{00000000-0005-0000-0000-0000A2080000}"/>
    <cellStyle name="Normal 43 5" xfId="2770" xr:uid="{00000000-0005-0000-0000-0000A3080000}"/>
    <cellStyle name="Normal 43 6" xfId="2285" xr:uid="{00000000-0005-0000-0000-0000A4080000}"/>
    <cellStyle name="Normal 44" xfId="1519" xr:uid="{00000000-0005-0000-0000-0000A5080000}"/>
    <cellStyle name="Normal 44 2" xfId="1520" xr:uid="{00000000-0005-0000-0000-0000A6080000}"/>
    <cellStyle name="Normal 44 2 2" xfId="2771" xr:uid="{00000000-0005-0000-0000-0000A7080000}"/>
    <cellStyle name="Normal 44 2 3" xfId="2289" xr:uid="{00000000-0005-0000-0000-0000A8080000}"/>
    <cellStyle name="Normal 44 3" xfId="1521" xr:uid="{00000000-0005-0000-0000-0000A9080000}"/>
    <cellStyle name="Normal 44 3 2" xfId="2772" xr:uid="{00000000-0005-0000-0000-0000AA080000}"/>
    <cellStyle name="Normal 44 3 3" xfId="2290" xr:uid="{00000000-0005-0000-0000-0000AB080000}"/>
    <cellStyle name="Normal 44 4" xfId="1522" xr:uid="{00000000-0005-0000-0000-0000AC080000}"/>
    <cellStyle name="Normal 44 5" xfId="2773" xr:uid="{00000000-0005-0000-0000-0000AD080000}"/>
    <cellStyle name="Normal 44 6" xfId="2288" xr:uid="{00000000-0005-0000-0000-0000AE080000}"/>
    <cellStyle name="Normal 45" xfId="1523" xr:uid="{00000000-0005-0000-0000-0000AF080000}"/>
    <cellStyle name="Normal 45 2" xfId="1524" xr:uid="{00000000-0005-0000-0000-0000B0080000}"/>
    <cellStyle name="Normal 45 2 2" xfId="2774" xr:uid="{00000000-0005-0000-0000-0000B1080000}"/>
    <cellStyle name="Normal 45 2 3" xfId="2292" xr:uid="{00000000-0005-0000-0000-0000B2080000}"/>
    <cellStyle name="Normal 45 3" xfId="1525" xr:uid="{00000000-0005-0000-0000-0000B3080000}"/>
    <cellStyle name="Normal 45 3 2" xfId="2775" xr:uid="{00000000-0005-0000-0000-0000B4080000}"/>
    <cellStyle name="Normal 45 3 3" xfId="2293" xr:uid="{00000000-0005-0000-0000-0000B5080000}"/>
    <cellStyle name="Normal 45 4" xfId="1526" xr:uid="{00000000-0005-0000-0000-0000B6080000}"/>
    <cellStyle name="Normal 45 5" xfId="2776" xr:uid="{00000000-0005-0000-0000-0000B7080000}"/>
    <cellStyle name="Normal 45 6" xfId="2291" xr:uid="{00000000-0005-0000-0000-0000B8080000}"/>
    <cellStyle name="Normal 46" xfId="1527" xr:uid="{00000000-0005-0000-0000-0000B9080000}"/>
    <cellStyle name="Normal 46 2" xfId="1528" xr:uid="{00000000-0005-0000-0000-0000BA080000}"/>
    <cellStyle name="Normal 46 2 2" xfId="2777" xr:uid="{00000000-0005-0000-0000-0000BB080000}"/>
    <cellStyle name="Normal 46 2 3" xfId="2295" xr:uid="{00000000-0005-0000-0000-0000BC080000}"/>
    <cellStyle name="Normal 46 3" xfId="1529" xr:uid="{00000000-0005-0000-0000-0000BD080000}"/>
    <cellStyle name="Normal 46 3 2" xfId="2778" xr:uid="{00000000-0005-0000-0000-0000BE080000}"/>
    <cellStyle name="Normal 46 3 3" xfId="2296" xr:uid="{00000000-0005-0000-0000-0000BF080000}"/>
    <cellStyle name="Normal 46 4" xfId="1530" xr:uid="{00000000-0005-0000-0000-0000C0080000}"/>
    <cellStyle name="Normal 46 5" xfId="2779" xr:uid="{00000000-0005-0000-0000-0000C1080000}"/>
    <cellStyle name="Normal 46 6" xfId="2294" xr:uid="{00000000-0005-0000-0000-0000C2080000}"/>
    <cellStyle name="Normal 47" xfId="1531" xr:uid="{00000000-0005-0000-0000-0000C3080000}"/>
    <cellStyle name="Normal 47 2" xfId="1532" xr:uid="{00000000-0005-0000-0000-0000C4080000}"/>
    <cellStyle name="Normal 47 2 2" xfId="2780" xr:uid="{00000000-0005-0000-0000-0000C5080000}"/>
    <cellStyle name="Normal 47 2 3" xfId="2298" xr:uid="{00000000-0005-0000-0000-0000C6080000}"/>
    <cellStyle name="Normal 47 3" xfId="1533" xr:uid="{00000000-0005-0000-0000-0000C7080000}"/>
    <cellStyle name="Normal 47 3 2" xfId="2781" xr:uid="{00000000-0005-0000-0000-0000C8080000}"/>
    <cellStyle name="Normal 47 3 3" xfId="2299" xr:uid="{00000000-0005-0000-0000-0000C9080000}"/>
    <cellStyle name="Normal 47 4" xfId="1534" xr:uid="{00000000-0005-0000-0000-0000CA080000}"/>
    <cellStyle name="Normal 47 5" xfId="2782" xr:uid="{00000000-0005-0000-0000-0000CB080000}"/>
    <cellStyle name="Normal 47 6" xfId="2297" xr:uid="{00000000-0005-0000-0000-0000CC080000}"/>
    <cellStyle name="Normal 48" xfId="1535" xr:uid="{00000000-0005-0000-0000-0000CD080000}"/>
    <cellStyle name="Normal 48 2" xfId="1536" xr:uid="{00000000-0005-0000-0000-0000CE080000}"/>
    <cellStyle name="Normal 48 2 2" xfId="2783" xr:uid="{00000000-0005-0000-0000-0000CF080000}"/>
    <cellStyle name="Normal 48 2 3" xfId="2301" xr:uid="{00000000-0005-0000-0000-0000D0080000}"/>
    <cellStyle name="Normal 48 3" xfId="1537" xr:uid="{00000000-0005-0000-0000-0000D1080000}"/>
    <cellStyle name="Normal 48 3 2" xfId="2784" xr:uid="{00000000-0005-0000-0000-0000D2080000}"/>
    <cellStyle name="Normal 48 3 3" xfId="2302" xr:uid="{00000000-0005-0000-0000-0000D3080000}"/>
    <cellStyle name="Normal 48 4" xfId="1538" xr:uid="{00000000-0005-0000-0000-0000D4080000}"/>
    <cellStyle name="Normal 48 5" xfId="2785" xr:uid="{00000000-0005-0000-0000-0000D5080000}"/>
    <cellStyle name="Normal 48 6" xfId="2300" xr:uid="{00000000-0005-0000-0000-0000D6080000}"/>
    <cellStyle name="Normal 49" xfId="1539" xr:uid="{00000000-0005-0000-0000-0000D7080000}"/>
    <cellStyle name="Normal 49 2" xfId="1540" xr:uid="{00000000-0005-0000-0000-0000D8080000}"/>
    <cellStyle name="Normal 49 2 2" xfId="2786" xr:uid="{00000000-0005-0000-0000-0000D9080000}"/>
    <cellStyle name="Normal 49 2 3" xfId="2304" xr:uid="{00000000-0005-0000-0000-0000DA080000}"/>
    <cellStyle name="Normal 49 3" xfId="1541" xr:uid="{00000000-0005-0000-0000-0000DB080000}"/>
    <cellStyle name="Normal 49 3 2" xfId="2787" xr:uid="{00000000-0005-0000-0000-0000DC080000}"/>
    <cellStyle name="Normal 49 3 3" xfId="2305" xr:uid="{00000000-0005-0000-0000-0000DD080000}"/>
    <cellStyle name="Normal 49 4" xfId="1542" xr:uid="{00000000-0005-0000-0000-0000DE080000}"/>
    <cellStyle name="Normal 49 5" xfId="2788" xr:uid="{00000000-0005-0000-0000-0000DF080000}"/>
    <cellStyle name="Normal 49 6" xfId="2303" xr:uid="{00000000-0005-0000-0000-0000E0080000}"/>
    <cellStyle name="Normal 5" xfId="10" xr:uid="{00000000-0005-0000-0000-0000E1080000}"/>
    <cellStyle name="Normal 5 10" xfId="1543" xr:uid="{00000000-0005-0000-0000-0000E2080000}"/>
    <cellStyle name="Normal 5 10 2" xfId="2789" xr:uid="{00000000-0005-0000-0000-0000E3080000}"/>
    <cellStyle name="Normal 5 10 3" xfId="2306" xr:uid="{00000000-0005-0000-0000-0000E4080000}"/>
    <cellStyle name="Normal 5 11" xfId="1544" xr:uid="{00000000-0005-0000-0000-0000E5080000}"/>
    <cellStyle name="Normal 5 11 2" xfId="2790" xr:uid="{00000000-0005-0000-0000-0000E6080000}"/>
    <cellStyle name="Normal 5 11 3" xfId="2307" xr:uid="{00000000-0005-0000-0000-0000E7080000}"/>
    <cellStyle name="Normal 5 12" xfId="1545" xr:uid="{00000000-0005-0000-0000-0000E8080000}"/>
    <cellStyle name="Normal 5 12 2" xfId="2791" xr:uid="{00000000-0005-0000-0000-0000E9080000}"/>
    <cellStyle name="Normal 5 12 3" xfId="2308" xr:uid="{00000000-0005-0000-0000-0000EA080000}"/>
    <cellStyle name="Normal 5 13" xfId="1546" xr:uid="{00000000-0005-0000-0000-0000EB080000}"/>
    <cellStyle name="Normal 5 13 2" xfId="2792" xr:uid="{00000000-0005-0000-0000-0000EC080000}"/>
    <cellStyle name="Normal 5 13 3" xfId="2309" xr:uid="{00000000-0005-0000-0000-0000ED080000}"/>
    <cellStyle name="Normal 5 14" xfId="1547" xr:uid="{00000000-0005-0000-0000-0000EE080000}"/>
    <cellStyle name="Normal 5 15" xfId="1548" xr:uid="{00000000-0005-0000-0000-0000EF080000}"/>
    <cellStyle name="Normal 5 16" xfId="2045" xr:uid="{00000000-0005-0000-0000-0000F0080000}"/>
    <cellStyle name="Normal 5 16 2" xfId="2354" xr:uid="{00000000-0005-0000-0000-0000F1080000}"/>
    <cellStyle name="Normal 5 17" xfId="2140" xr:uid="{00000000-0005-0000-0000-0000F2080000}"/>
    <cellStyle name="Normal 5 18" xfId="93" xr:uid="{00000000-0005-0000-0000-0000F3080000}"/>
    <cellStyle name="Normal 5 2" xfId="1549" xr:uid="{00000000-0005-0000-0000-0000F4080000}"/>
    <cellStyle name="Normal 5 2 2" xfId="1550" xr:uid="{00000000-0005-0000-0000-0000F5080000}"/>
    <cellStyle name="Normal 5 2 2 2" xfId="1551" xr:uid="{00000000-0005-0000-0000-0000F6080000}"/>
    <cellStyle name="Normal 5 2 3" xfId="1552" xr:uid="{00000000-0005-0000-0000-0000F7080000}"/>
    <cellStyle name="Normal 5 2 4" xfId="1553" xr:uid="{00000000-0005-0000-0000-0000F8080000}"/>
    <cellStyle name="Normal 5 2 5" xfId="1554" xr:uid="{00000000-0005-0000-0000-0000F9080000}"/>
    <cellStyle name="Normal 5 3" xfId="1555" xr:uid="{00000000-0005-0000-0000-0000FA080000}"/>
    <cellStyle name="Normal 5 3 2" xfId="1556" xr:uid="{00000000-0005-0000-0000-0000FB080000}"/>
    <cellStyle name="Normal 5 3 2 2" xfId="1557" xr:uid="{00000000-0005-0000-0000-0000FC080000}"/>
    <cellStyle name="Normal 5 3 3" xfId="1558" xr:uid="{00000000-0005-0000-0000-0000FD080000}"/>
    <cellStyle name="Normal 5 3 3 2" xfId="2793" xr:uid="{00000000-0005-0000-0000-0000FE080000}"/>
    <cellStyle name="Normal 5 3 3 3" xfId="2310" xr:uid="{00000000-0005-0000-0000-0000FF080000}"/>
    <cellStyle name="Normal 5 3 4" xfId="1559" xr:uid="{00000000-0005-0000-0000-000000090000}"/>
    <cellStyle name="Normal 5 4" xfId="1560" xr:uid="{00000000-0005-0000-0000-000001090000}"/>
    <cellStyle name="Normal 5 4 2" xfId="1561" xr:uid="{00000000-0005-0000-0000-000002090000}"/>
    <cellStyle name="Normal 5 4 2 2" xfId="2794" xr:uid="{00000000-0005-0000-0000-000003090000}"/>
    <cellStyle name="Normal 5 4 2 3" xfId="2311" xr:uid="{00000000-0005-0000-0000-000004090000}"/>
    <cellStyle name="Normal 5 4 3" xfId="1562" xr:uid="{00000000-0005-0000-0000-000005090000}"/>
    <cellStyle name="Normal 5 5" xfId="1563" xr:uid="{00000000-0005-0000-0000-000006090000}"/>
    <cellStyle name="Normal 5 5 2" xfId="2795" xr:uid="{00000000-0005-0000-0000-000007090000}"/>
    <cellStyle name="Normal 5 5 3" xfId="2312" xr:uid="{00000000-0005-0000-0000-000008090000}"/>
    <cellStyle name="Normal 5 6" xfId="1564" xr:uid="{00000000-0005-0000-0000-000009090000}"/>
    <cellStyle name="Normal 5 6 2" xfId="2796" xr:uid="{00000000-0005-0000-0000-00000A090000}"/>
    <cellStyle name="Normal 5 6 3" xfId="2313" xr:uid="{00000000-0005-0000-0000-00000B090000}"/>
    <cellStyle name="Normal 5 7" xfId="1565" xr:uid="{00000000-0005-0000-0000-00000C090000}"/>
    <cellStyle name="Normal 5 7 2" xfId="2797" xr:uid="{00000000-0005-0000-0000-00000D090000}"/>
    <cellStyle name="Normal 5 7 3" xfId="2314" xr:uid="{00000000-0005-0000-0000-00000E090000}"/>
    <cellStyle name="Normal 5 8" xfId="1566" xr:uid="{00000000-0005-0000-0000-00000F090000}"/>
    <cellStyle name="Normal 5 8 2" xfId="2798" xr:uid="{00000000-0005-0000-0000-000010090000}"/>
    <cellStyle name="Normal 5 8 3" xfId="2315" xr:uid="{00000000-0005-0000-0000-000011090000}"/>
    <cellStyle name="Normal 5 9" xfId="1567" xr:uid="{00000000-0005-0000-0000-000012090000}"/>
    <cellStyle name="Normal 5 9 2" xfId="2799" xr:uid="{00000000-0005-0000-0000-000013090000}"/>
    <cellStyle name="Normal 5 9 3" xfId="2316" xr:uid="{00000000-0005-0000-0000-000014090000}"/>
    <cellStyle name="Normal 50" xfId="1568" xr:uid="{00000000-0005-0000-0000-000015090000}"/>
    <cellStyle name="Normal 50 2" xfId="1569" xr:uid="{00000000-0005-0000-0000-000016090000}"/>
    <cellStyle name="Normal 50 2 2" xfId="2800" xr:uid="{00000000-0005-0000-0000-000017090000}"/>
    <cellStyle name="Normal 50 2 3" xfId="2318" xr:uid="{00000000-0005-0000-0000-000018090000}"/>
    <cellStyle name="Normal 50 3" xfId="1570" xr:uid="{00000000-0005-0000-0000-000019090000}"/>
    <cellStyle name="Normal 50 3 2" xfId="2801" xr:uid="{00000000-0005-0000-0000-00001A090000}"/>
    <cellStyle name="Normal 50 3 3" xfId="2319" xr:uid="{00000000-0005-0000-0000-00001B090000}"/>
    <cellStyle name="Normal 50 4" xfId="1571" xr:uid="{00000000-0005-0000-0000-00001C090000}"/>
    <cellStyle name="Normal 50 5" xfId="2802" xr:uid="{00000000-0005-0000-0000-00001D090000}"/>
    <cellStyle name="Normal 50 6" xfId="2317" xr:uid="{00000000-0005-0000-0000-00001E090000}"/>
    <cellStyle name="Normal 51" xfId="1572" xr:uid="{00000000-0005-0000-0000-00001F090000}"/>
    <cellStyle name="Normal 51 2" xfId="1573" xr:uid="{00000000-0005-0000-0000-000020090000}"/>
    <cellStyle name="Normal 51 2 2" xfId="2803" xr:uid="{00000000-0005-0000-0000-000021090000}"/>
    <cellStyle name="Normal 51 2 3" xfId="2321" xr:uid="{00000000-0005-0000-0000-000022090000}"/>
    <cellStyle name="Normal 51 3" xfId="1574" xr:uid="{00000000-0005-0000-0000-000023090000}"/>
    <cellStyle name="Normal 51 3 2" xfId="2804" xr:uid="{00000000-0005-0000-0000-000024090000}"/>
    <cellStyle name="Normal 51 3 3" xfId="2322" xr:uid="{00000000-0005-0000-0000-000025090000}"/>
    <cellStyle name="Normal 51 4" xfId="1575" xr:uid="{00000000-0005-0000-0000-000026090000}"/>
    <cellStyle name="Normal 51 5" xfId="2805" xr:uid="{00000000-0005-0000-0000-000027090000}"/>
    <cellStyle name="Normal 51 6" xfId="2320" xr:uid="{00000000-0005-0000-0000-000028090000}"/>
    <cellStyle name="Normal 52" xfId="1576" xr:uid="{00000000-0005-0000-0000-000029090000}"/>
    <cellStyle name="Normal 52 2" xfId="1577" xr:uid="{00000000-0005-0000-0000-00002A090000}"/>
    <cellStyle name="Normal 52 2 2" xfId="2806" xr:uid="{00000000-0005-0000-0000-00002B090000}"/>
    <cellStyle name="Normal 52 2 3" xfId="2324" xr:uid="{00000000-0005-0000-0000-00002C090000}"/>
    <cellStyle name="Normal 52 3" xfId="1578" xr:uid="{00000000-0005-0000-0000-00002D090000}"/>
    <cellStyle name="Normal 52 3 2" xfId="2807" xr:uid="{00000000-0005-0000-0000-00002E090000}"/>
    <cellStyle name="Normal 52 3 3" xfId="2325" xr:uid="{00000000-0005-0000-0000-00002F090000}"/>
    <cellStyle name="Normal 52 4" xfId="1579" xr:uid="{00000000-0005-0000-0000-000030090000}"/>
    <cellStyle name="Normal 52 5" xfId="2808" xr:uid="{00000000-0005-0000-0000-000031090000}"/>
    <cellStyle name="Normal 52 6" xfId="2323" xr:uid="{00000000-0005-0000-0000-000032090000}"/>
    <cellStyle name="Normal 53" xfId="1580" xr:uid="{00000000-0005-0000-0000-000033090000}"/>
    <cellStyle name="Normal 53 2" xfId="1581" xr:uid="{00000000-0005-0000-0000-000034090000}"/>
    <cellStyle name="Normal 53 2 2" xfId="1582" xr:uid="{00000000-0005-0000-0000-000035090000}"/>
    <cellStyle name="Normal 53 3" xfId="1583" xr:uid="{00000000-0005-0000-0000-000036090000}"/>
    <cellStyle name="Normal 54" xfId="1584" xr:uid="{00000000-0005-0000-0000-000037090000}"/>
    <cellStyle name="Normal 54 2" xfId="1585" xr:uid="{00000000-0005-0000-0000-000038090000}"/>
    <cellStyle name="Normal 54 2 2" xfId="1586" xr:uid="{00000000-0005-0000-0000-000039090000}"/>
    <cellStyle name="Normal 54 3" xfId="1587" xr:uid="{00000000-0005-0000-0000-00003A090000}"/>
    <cellStyle name="Normal 55" xfId="1588" xr:uid="{00000000-0005-0000-0000-00003B090000}"/>
    <cellStyle name="Normal 55 2" xfId="1589" xr:uid="{00000000-0005-0000-0000-00003C090000}"/>
    <cellStyle name="Normal 56" xfId="1590" xr:uid="{00000000-0005-0000-0000-00003D090000}"/>
    <cellStyle name="Normal 56 2" xfId="1591" xr:uid="{00000000-0005-0000-0000-00003E090000}"/>
    <cellStyle name="Normal 56 3" xfId="1592" xr:uid="{00000000-0005-0000-0000-00003F090000}"/>
    <cellStyle name="Normal 57" xfId="1593" xr:uid="{00000000-0005-0000-0000-000040090000}"/>
    <cellStyle name="Normal 57 2" xfId="1594" xr:uid="{00000000-0005-0000-0000-000041090000}"/>
    <cellStyle name="Normal 57 3" xfId="1595" xr:uid="{00000000-0005-0000-0000-000042090000}"/>
    <cellStyle name="Normal 58" xfId="1596" xr:uid="{00000000-0005-0000-0000-000043090000}"/>
    <cellStyle name="Normal 58 2" xfId="1597" xr:uid="{00000000-0005-0000-0000-000044090000}"/>
    <cellStyle name="Normal 58 3" xfId="1598" xr:uid="{00000000-0005-0000-0000-000045090000}"/>
    <cellStyle name="Normal 59" xfId="1599" xr:uid="{00000000-0005-0000-0000-000046090000}"/>
    <cellStyle name="Normal 59 2" xfId="1600" xr:uid="{00000000-0005-0000-0000-000047090000}"/>
    <cellStyle name="Normal 59 3" xfId="1601" xr:uid="{00000000-0005-0000-0000-000048090000}"/>
    <cellStyle name="Normal 6" xfId="83" xr:uid="{00000000-0005-0000-0000-000049090000}"/>
    <cellStyle name="Normal 6 10" xfId="1602" xr:uid="{00000000-0005-0000-0000-00004A090000}"/>
    <cellStyle name="Normal 6 11" xfId="1603" xr:uid="{00000000-0005-0000-0000-00004B090000}"/>
    <cellStyle name="Normal 6 12" xfId="2809" xr:uid="{00000000-0005-0000-0000-00004C090000}"/>
    <cellStyle name="Normal 6 13" xfId="2141" xr:uid="{00000000-0005-0000-0000-00004D090000}"/>
    <cellStyle name="Normal 6 2" xfId="1604" xr:uid="{00000000-0005-0000-0000-00004E090000}"/>
    <cellStyle name="Normal 6 2 2" xfId="1605" xr:uid="{00000000-0005-0000-0000-00004F090000}"/>
    <cellStyle name="Normal 6 2 2 2" xfId="1606" xr:uid="{00000000-0005-0000-0000-000050090000}"/>
    <cellStyle name="Normal 6 2 3" xfId="1607" xr:uid="{00000000-0005-0000-0000-000051090000}"/>
    <cellStyle name="Normal 6 2 3 2" xfId="1608" xr:uid="{00000000-0005-0000-0000-000052090000}"/>
    <cellStyle name="Normal 6 2 4" xfId="1609" xr:uid="{00000000-0005-0000-0000-000053090000}"/>
    <cellStyle name="Normal 6 3" xfId="1610" xr:uid="{00000000-0005-0000-0000-000054090000}"/>
    <cellStyle name="Normal 6 3 2" xfId="1611" xr:uid="{00000000-0005-0000-0000-000055090000}"/>
    <cellStyle name="Normal 6 3 2 2" xfId="1612" xr:uid="{00000000-0005-0000-0000-000056090000}"/>
    <cellStyle name="Normal 6 3 2 2 2" xfId="2810" xr:uid="{00000000-0005-0000-0000-000057090000}"/>
    <cellStyle name="Normal 6 3 2 2 3" xfId="2327" xr:uid="{00000000-0005-0000-0000-000058090000}"/>
    <cellStyle name="Normal 6 3 2 3" xfId="1613" xr:uid="{00000000-0005-0000-0000-000059090000}"/>
    <cellStyle name="Normal 6 3 2 3 2" xfId="2811" xr:uid="{00000000-0005-0000-0000-00005A090000}"/>
    <cellStyle name="Normal 6 3 2 3 3" xfId="2328" xr:uid="{00000000-0005-0000-0000-00005B090000}"/>
    <cellStyle name="Normal 6 3 2 4" xfId="2812" xr:uid="{00000000-0005-0000-0000-00005C090000}"/>
    <cellStyle name="Normal 6 3 2 5" xfId="2326" xr:uid="{00000000-0005-0000-0000-00005D090000}"/>
    <cellStyle name="Normal 6 3 3" xfId="1614" xr:uid="{00000000-0005-0000-0000-00005E090000}"/>
    <cellStyle name="Normal 6 4" xfId="1615" xr:uid="{00000000-0005-0000-0000-00005F090000}"/>
    <cellStyle name="Normal 6 4 2" xfId="1616" xr:uid="{00000000-0005-0000-0000-000060090000}"/>
    <cellStyle name="Normal 6 4 3" xfId="1617" xr:uid="{00000000-0005-0000-0000-000061090000}"/>
    <cellStyle name="Normal 6 5" xfId="1618" xr:uid="{00000000-0005-0000-0000-000062090000}"/>
    <cellStyle name="Normal 6 5 2" xfId="1619" xr:uid="{00000000-0005-0000-0000-000063090000}"/>
    <cellStyle name="Normal 6 5 2 2" xfId="2813" xr:uid="{00000000-0005-0000-0000-000064090000}"/>
    <cellStyle name="Normal 6 5 2 3" xfId="2330" xr:uid="{00000000-0005-0000-0000-000065090000}"/>
    <cellStyle name="Normal 6 5 3" xfId="1620" xr:uid="{00000000-0005-0000-0000-000066090000}"/>
    <cellStyle name="Normal 6 5 3 2" xfId="2814" xr:uid="{00000000-0005-0000-0000-000067090000}"/>
    <cellStyle name="Normal 6 5 3 3" xfId="2331" xr:uid="{00000000-0005-0000-0000-000068090000}"/>
    <cellStyle name="Normal 6 5 4" xfId="2815" xr:uid="{00000000-0005-0000-0000-000069090000}"/>
    <cellStyle name="Normal 6 5 5" xfId="2329" xr:uid="{00000000-0005-0000-0000-00006A090000}"/>
    <cellStyle name="Normal 6 6" xfId="1621" xr:uid="{00000000-0005-0000-0000-00006B090000}"/>
    <cellStyle name="Normal 6 7" xfId="1622" xr:uid="{00000000-0005-0000-0000-00006C090000}"/>
    <cellStyle name="Normal 6 8" xfId="1623" xr:uid="{00000000-0005-0000-0000-00006D090000}"/>
    <cellStyle name="Normal 6 9" xfId="1624" xr:uid="{00000000-0005-0000-0000-00006E090000}"/>
    <cellStyle name="Normal 60" xfId="1625" xr:uid="{00000000-0005-0000-0000-00006F090000}"/>
    <cellStyle name="Normal 60 2" xfId="1626" xr:uid="{00000000-0005-0000-0000-000070090000}"/>
    <cellStyle name="Normal 60 3" xfId="1627" xr:uid="{00000000-0005-0000-0000-000071090000}"/>
    <cellStyle name="Normal 61" xfId="1628" xr:uid="{00000000-0005-0000-0000-000072090000}"/>
    <cellStyle name="Normal 61 2" xfId="1629" xr:uid="{00000000-0005-0000-0000-000073090000}"/>
    <cellStyle name="Normal 61 3" xfId="1630" xr:uid="{00000000-0005-0000-0000-000074090000}"/>
    <cellStyle name="Normal 62" xfId="1631" xr:uid="{00000000-0005-0000-0000-000075090000}"/>
    <cellStyle name="Normal 62 2" xfId="1632" xr:uid="{00000000-0005-0000-0000-000076090000}"/>
    <cellStyle name="Normal 62 3" xfId="1633" xr:uid="{00000000-0005-0000-0000-000077090000}"/>
    <cellStyle name="Normal 63" xfId="52" xr:uid="{00000000-0005-0000-0000-000078090000}"/>
    <cellStyle name="Normal 63 2" xfId="1635" xr:uid="{00000000-0005-0000-0000-000079090000}"/>
    <cellStyle name="Normal 63 3" xfId="1636" xr:uid="{00000000-0005-0000-0000-00007A090000}"/>
    <cellStyle name="Normal 63 4" xfId="1634" xr:uid="{00000000-0005-0000-0000-00007B090000}"/>
    <cellStyle name="Normal 64" xfId="1637" xr:uid="{00000000-0005-0000-0000-00007C090000}"/>
    <cellStyle name="Normal 64 2" xfId="1638" xr:uid="{00000000-0005-0000-0000-00007D090000}"/>
    <cellStyle name="Normal 64 3" xfId="1639" xr:uid="{00000000-0005-0000-0000-00007E090000}"/>
    <cellStyle name="Normal 65" xfId="1640" xr:uid="{00000000-0005-0000-0000-00007F090000}"/>
    <cellStyle name="Normal 65 2" xfId="1641" xr:uid="{00000000-0005-0000-0000-000080090000}"/>
    <cellStyle name="Normal 65 3" xfId="1642" xr:uid="{00000000-0005-0000-0000-000081090000}"/>
    <cellStyle name="Normal 66" xfId="1643" xr:uid="{00000000-0005-0000-0000-000082090000}"/>
    <cellStyle name="Normal 66 2" xfId="1644" xr:uid="{00000000-0005-0000-0000-000083090000}"/>
    <cellStyle name="Normal 66 3" xfId="1645" xr:uid="{00000000-0005-0000-0000-000084090000}"/>
    <cellStyle name="Normal 67" xfId="1646" xr:uid="{00000000-0005-0000-0000-000085090000}"/>
    <cellStyle name="Normal 67 2" xfId="1647" xr:uid="{00000000-0005-0000-0000-000086090000}"/>
    <cellStyle name="Normal 67 3" xfId="1648" xr:uid="{00000000-0005-0000-0000-000087090000}"/>
    <cellStyle name="Normal 68" xfId="1649" xr:uid="{00000000-0005-0000-0000-000088090000}"/>
    <cellStyle name="Normal 68 2" xfId="1650" xr:uid="{00000000-0005-0000-0000-000089090000}"/>
    <cellStyle name="Normal 68 3" xfId="1651" xr:uid="{00000000-0005-0000-0000-00008A090000}"/>
    <cellStyle name="Normal 69" xfId="1652" xr:uid="{00000000-0005-0000-0000-00008B090000}"/>
    <cellStyle name="Normal 69 2" xfId="1653" xr:uid="{00000000-0005-0000-0000-00008C090000}"/>
    <cellStyle name="Normal 69 3" xfId="1654" xr:uid="{00000000-0005-0000-0000-00008D090000}"/>
    <cellStyle name="Normal 7" xfId="1655" xr:uid="{00000000-0005-0000-0000-00008E090000}"/>
    <cellStyle name="Normal 7 10" xfId="2932" xr:uid="{00000000-0005-0000-0000-00008F090000}"/>
    <cellStyle name="Normal 7 2" xfId="1656" xr:uid="{00000000-0005-0000-0000-000090090000}"/>
    <cellStyle name="Normal 7 2 2" xfId="1657" xr:uid="{00000000-0005-0000-0000-000091090000}"/>
    <cellStyle name="Normal 7 2 3" xfId="1658" xr:uid="{00000000-0005-0000-0000-000092090000}"/>
    <cellStyle name="Normal 7 3" xfId="1659" xr:uid="{00000000-0005-0000-0000-000093090000}"/>
    <cellStyle name="Normal 7 3 2" xfId="1660" xr:uid="{00000000-0005-0000-0000-000094090000}"/>
    <cellStyle name="Normal 7 4" xfId="1661" xr:uid="{00000000-0005-0000-0000-000095090000}"/>
    <cellStyle name="Normal 7 5" xfId="1662" xr:uid="{00000000-0005-0000-0000-000096090000}"/>
    <cellStyle name="Normal 7 6" xfId="1663" xr:uid="{00000000-0005-0000-0000-000097090000}"/>
    <cellStyle name="Normal 7 7" xfId="1664" xr:uid="{00000000-0005-0000-0000-000098090000}"/>
    <cellStyle name="Normal 7 8" xfId="2816" xr:uid="{00000000-0005-0000-0000-000099090000}"/>
    <cellStyle name="Normal 7 9" xfId="2142" xr:uid="{00000000-0005-0000-0000-00009A090000}"/>
    <cellStyle name="Normal 70" xfId="1665" xr:uid="{00000000-0005-0000-0000-00009B090000}"/>
    <cellStyle name="Normal 70 2" xfId="1666" xr:uid="{00000000-0005-0000-0000-00009C090000}"/>
    <cellStyle name="Normal 70 3" xfId="1667" xr:uid="{00000000-0005-0000-0000-00009D090000}"/>
    <cellStyle name="Normal 71" xfId="1668" xr:uid="{00000000-0005-0000-0000-00009E090000}"/>
    <cellStyle name="Normal 71 2" xfId="1669" xr:uid="{00000000-0005-0000-0000-00009F090000}"/>
    <cellStyle name="Normal 71 3" xfId="1670" xr:uid="{00000000-0005-0000-0000-0000A0090000}"/>
    <cellStyle name="Normal 72" xfId="1671" xr:uid="{00000000-0005-0000-0000-0000A1090000}"/>
    <cellStyle name="Normal 72 2" xfId="1672" xr:uid="{00000000-0005-0000-0000-0000A2090000}"/>
    <cellStyle name="Normal 72 3" xfId="1673" xr:uid="{00000000-0005-0000-0000-0000A3090000}"/>
    <cellStyle name="Normal 73" xfId="1674" xr:uid="{00000000-0005-0000-0000-0000A4090000}"/>
    <cellStyle name="Normal 73 2" xfId="1675" xr:uid="{00000000-0005-0000-0000-0000A5090000}"/>
    <cellStyle name="Normal 73 3" xfId="1676" xr:uid="{00000000-0005-0000-0000-0000A6090000}"/>
    <cellStyle name="Normal 73 4" xfId="1677" xr:uid="{00000000-0005-0000-0000-0000A7090000}"/>
    <cellStyle name="Normal 73 4 2" xfId="2817" xr:uid="{00000000-0005-0000-0000-0000A8090000}"/>
    <cellStyle name="Normal 73 4 3" xfId="2332" xr:uid="{00000000-0005-0000-0000-0000A9090000}"/>
    <cellStyle name="Normal 74" xfId="1678" xr:uid="{00000000-0005-0000-0000-0000AA090000}"/>
    <cellStyle name="Normal 74 2" xfId="1679" xr:uid="{00000000-0005-0000-0000-0000AB090000}"/>
    <cellStyle name="Normal 74 3" xfId="1680" xr:uid="{00000000-0005-0000-0000-0000AC090000}"/>
    <cellStyle name="Normal 75" xfId="1681" xr:uid="{00000000-0005-0000-0000-0000AD090000}"/>
    <cellStyle name="Normal 75 2" xfId="1682" xr:uid="{00000000-0005-0000-0000-0000AE090000}"/>
    <cellStyle name="Normal 75 3" xfId="1683" xr:uid="{00000000-0005-0000-0000-0000AF090000}"/>
    <cellStyle name="Normal 76" xfId="1684" xr:uid="{00000000-0005-0000-0000-0000B0090000}"/>
    <cellStyle name="Normal 76 2" xfId="1685" xr:uid="{00000000-0005-0000-0000-0000B1090000}"/>
    <cellStyle name="Normal 76 3" xfId="1686" xr:uid="{00000000-0005-0000-0000-0000B2090000}"/>
    <cellStyle name="Normal 77" xfId="1687" xr:uid="{00000000-0005-0000-0000-0000B3090000}"/>
    <cellStyle name="Normal 77 2" xfId="1688" xr:uid="{00000000-0005-0000-0000-0000B4090000}"/>
    <cellStyle name="Normal 77 3" xfId="1689" xr:uid="{00000000-0005-0000-0000-0000B5090000}"/>
    <cellStyle name="Normal 78" xfId="1690" xr:uid="{00000000-0005-0000-0000-0000B6090000}"/>
    <cellStyle name="Normal 78 2" xfId="1691" xr:uid="{00000000-0005-0000-0000-0000B7090000}"/>
    <cellStyle name="Normal 78 3" xfId="2818" xr:uid="{00000000-0005-0000-0000-0000B8090000}"/>
    <cellStyle name="Normal 78 4" xfId="2333" xr:uid="{00000000-0005-0000-0000-0000B9090000}"/>
    <cellStyle name="Normal 79" xfId="1692" xr:uid="{00000000-0005-0000-0000-0000BA090000}"/>
    <cellStyle name="Normal 79 2" xfId="1693" xr:uid="{00000000-0005-0000-0000-0000BB090000}"/>
    <cellStyle name="Normal 8" xfId="9" xr:uid="{00000000-0005-0000-0000-0000BC090000}"/>
    <cellStyle name="Normal 8 2" xfId="1695" xr:uid="{00000000-0005-0000-0000-0000BD090000}"/>
    <cellStyle name="Normal 8 2 2" xfId="1696" xr:uid="{00000000-0005-0000-0000-0000BE090000}"/>
    <cellStyle name="Normal 8 3" xfId="1697" xr:uid="{00000000-0005-0000-0000-0000BF090000}"/>
    <cellStyle name="Normal 8 4" xfId="1698" xr:uid="{00000000-0005-0000-0000-0000C0090000}"/>
    <cellStyle name="Normal 8 5" xfId="2819" xr:uid="{00000000-0005-0000-0000-0000C1090000}"/>
    <cellStyle name="Normal 8 6" xfId="2143" xr:uid="{00000000-0005-0000-0000-0000C2090000}"/>
    <cellStyle name="Normal 8 7" xfId="1694" xr:uid="{00000000-0005-0000-0000-0000C3090000}"/>
    <cellStyle name="Normal 8 8" xfId="59" xr:uid="{00000000-0005-0000-0000-0000C4090000}"/>
    <cellStyle name="Normal 80" xfId="1699" xr:uid="{00000000-0005-0000-0000-0000C5090000}"/>
    <cellStyle name="Normal 80 2" xfId="1700" xr:uid="{00000000-0005-0000-0000-0000C6090000}"/>
    <cellStyle name="Normal 81" xfId="1701" xr:uid="{00000000-0005-0000-0000-0000C7090000}"/>
    <cellStyle name="Normal 81 2" xfId="1702" xr:uid="{00000000-0005-0000-0000-0000C8090000}"/>
    <cellStyle name="Normal 82" xfId="1703" xr:uid="{00000000-0005-0000-0000-0000C9090000}"/>
    <cellStyle name="Normal 82 2" xfId="1704" xr:uid="{00000000-0005-0000-0000-0000CA090000}"/>
    <cellStyle name="Normal 83" xfId="1705" xr:uid="{00000000-0005-0000-0000-0000CB090000}"/>
    <cellStyle name="Normal 83 2" xfId="1706" xr:uid="{00000000-0005-0000-0000-0000CC090000}"/>
    <cellStyle name="Normal 84" xfId="1707" xr:uid="{00000000-0005-0000-0000-0000CD090000}"/>
    <cellStyle name="Normal 84 2" xfId="1708" xr:uid="{00000000-0005-0000-0000-0000CE090000}"/>
    <cellStyle name="Normal 85" xfId="1709" xr:uid="{00000000-0005-0000-0000-0000CF090000}"/>
    <cellStyle name="Normal 85 2" xfId="1710" xr:uid="{00000000-0005-0000-0000-0000D0090000}"/>
    <cellStyle name="Normal 86" xfId="1711" xr:uid="{00000000-0005-0000-0000-0000D1090000}"/>
    <cellStyle name="Normal 86 2" xfId="1712" xr:uid="{00000000-0005-0000-0000-0000D2090000}"/>
    <cellStyle name="Normal 87" xfId="1713" xr:uid="{00000000-0005-0000-0000-0000D3090000}"/>
    <cellStyle name="Normal 87 2" xfId="1714" xr:uid="{00000000-0005-0000-0000-0000D4090000}"/>
    <cellStyle name="Normal 88" xfId="1715" xr:uid="{00000000-0005-0000-0000-0000D5090000}"/>
    <cellStyle name="Normal 88 2" xfId="1716" xr:uid="{00000000-0005-0000-0000-0000D6090000}"/>
    <cellStyle name="Normal 89" xfId="1717" xr:uid="{00000000-0005-0000-0000-0000D7090000}"/>
    <cellStyle name="Normal 89 2" xfId="1718" xr:uid="{00000000-0005-0000-0000-0000D8090000}"/>
    <cellStyle name="Normal 9" xfId="8" xr:uid="{00000000-0005-0000-0000-0000D9090000}"/>
    <cellStyle name="Normal 9 10" xfId="2933" xr:uid="{00000000-0005-0000-0000-0000DA090000}"/>
    <cellStyle name="Normal 9 2" xfId="1720" xr:uid="{00000000-0005-0000-0000-0000DB090000}"/>
    <cellStyle name="Normal 9 2 2" xfId="1721" xr:uid="{00000000-0005-0000-0000-0000DC090000}"/>
    <cellStyle name="Normal 9 2 3" xfId="1722" xr:uid="{00000000-0005-0000-0000-0000DD090000}"/>
    <cellStyle name="Normal 9 3" xfId="1723" xr:uid="{00000000-0005-0000-0000-0000DE090000}"/>
    <cellStyle name="Normal 9 3 2" xfId="1724" xr:uid="{00000000-0005-0000-0000-0000DF090000}"/>
    <cellStyle name="Normal 9 4" xfId="1725" xr:uid="{00000000-0005-0000-0000-0000E0090000}"/>
    <cellStyle name="Normal 9 5" xfId="1726" xr:uid="{00000000-0005-0000-0000-0000E1090000}"/>
    <cellStyle name="Normal 9 6" xfId="1727" xr:uid="{00000000-0005-0000-0000-0000E2090000}"/>
    <cellStyle name="Normal 9 7" xfId="2820" xr:uid="{00000000-0005-0000-0000-0000E3090000}"/>
    <cellStyle name="Normal 9 8" xfId="2144" xr:uid="{00000000-0005-0000-0000-0000E4090000}"/>
    <cellStyle name="Normal 9 9" xfId="1719" xr:uid="{00000000-0005-0000-0000-0000E5090000}"/>
    <cellStyle name="Normal 90" xfId="1728" xr:uid="{00000000-0005-0000-0000-0000E6090000}"/>
    <cellStyle name="Normal 90 2" xfId="1729" xr:uid="{00000000-0005-0000-0000-0000E7090000}"/>
    <cellStyle name="Normal 91" xfId="1730" xr:uid="{00000000-0005-0000-0000-0000E8090000}"/>
    <cellStyle name="Normal 91 2" xfId="1731" xr:uid="{00000000-0005-0000-0000-0000E9090000}"/>
    <cellStyle name="Normal 92" xfId="1732" xr:uid="{00000000-0005-0000-0000-0000EA090000}"/>
    <cellStyle name="Normal 92 2" xfId="1733" xr:uid="{00000000-0005-0000-0000-0000EB090000}"/>
    <cellStyle name="Normal 93" xfId="1734" xr:uid="{00000000-0005-0000-0000-0000EC090000}"/>
    <cellStyle name="Normal 93 2" xfId="1735" xr:uid="{00000000-0005-0000-0000-0000ED090000}"/>
    <cellStyle name="Normal 94" xfId="1736" xr:uid="{00000000-0005-0000-0000-0000EE090000}"/>
    <cellStyle name="Normal 94 2" xfId="1737" xr:uid="{00000000-0005-0000-0000-0000EF090000}"/>
    <cellStyle name="Normal 95" xfId="1738" xr:uid="{00000000-0005-0000-0000-0000F0090000}"/>
    <cellStyle name="Normal 95 2" xfId="1739" xr:uid="{00000000-0005-0000-0000-0000F1090000}"/>
    <cellStyle name="Normal 96" xfId="1740" xr:uid="{00000000-0005-0000-0000-0000F2090000}"/>
    <cellStyle name="Normal 96 2" xfId="1741" xr:uid="{00000000-0005-0000-0000-0000F3090000}"/>
    <cellStyle name="Normal 97" xfId="1742" xr:uid="{00000000-0005-0000-0000-0000F4090000}"/>
    <cellStyle name="Normal 97 2" xfId="1743" xr:uid="{00000000-0005-0000-0000-0000F5090000}"/>
    <cellStyle name="Normal 98" xfId="1744" xr:uid="{00000000-0005-0000-0000-0000F6090000}"/>
    <cellStyle name="Normal 98 2" xfId="1745" xr:uid="{00000000-0005-0000-0000-0000F7090000}"/>
    <cellStyle name="Normal 99" xfId="1746" xr:uid="{00000000-0005-0000-0000-0000F8090000}"/>
    <cellStyle name="Normal 99 2" xfId="1747" xr:uid="{00000000-0005-0000-0000-0000F9090000}"/>
    <cellStyle name="Normal Table" xfId="1748" xr:uid="{00000000-0005-0000-0000-0000FA090000}"/>
    <cellStyle name="Normál_MERLEG.XLS" xfId="1749" xr:uid="{00000000-0005-0000-0000-0000FB090000}"/>
    <cellStyle name="Note 10" xfId="1750" xr:uid="{00000000-0005-0000-0000-0000FC090000}"/>
    <cellStyle name="Note 11" xfId="66" xr:uid="{00000000-0005-0000-0000-0000FD090000}"/>
    <cellStyle name="Note 2" xfId="1751" xr:uid="{00000000-0005-0000-0000-0000FE090000}"/>
    <cellStyle name="Note 2 2" xfId="1752" xr:uid="{00000000-0005-0000-0000-0000FF090000}"/>
    <cellStyle name="Note 3" xfId="1753" xr:uid="{00000000-0005-0000-0000-0000000A0000}"/>
    <cellStyle name="Note 3 2" xfId="1754" xr:uid="{00000000-0005-0000-0000-0000010A0000}"/>
    <cellStyle name="Note 4" xfId="1755" xr:uid="{00000000-0005-0000-0000-0000020A0000}"/>
    <cellStyle name="Note 4 2" xfId="1756" xr:uid="{00000000-0005-0000-0000-0000030A0000}"/>
    <cellStyle name="Note 5" xfId="1757" xr:uid="{00000000-0005-0000-0000-0000040A0000}"/>
    <cellStyle name="Note 5 2" xfId="1758" xr:uid="{00000000-0005-0000-0000-0000050A0000}"/>
    <cellStyle name="Note 6" xfId="1759" xr:uid="{00000000-0005-0000-0000-0000060A0000}"/>
    <cellStyle name="Note 6 2" xfId="1760" xr:uid="{00000000-0005-0000-0000-0000070A0000}"/>
    <cellStyle name="Note 7" xfId="1761" xr:uid="{00000000-0005-0000-0000-0000080A0000}"/>
    <cellStyle name="Note 7 2" xfId="1762" xr:uid="{00000000-0005-0000-0000-0000090A0000}"/>
    <cellStyle name="Note 8" xfId="1763" xr:uid="{00000000-0005-0000-0000-00000A0A0000}"/>
    <cellStyle name="Note 8 2" xfId="1764" xr:uid="{00000000-0005-0000-0000-00000B0A0000}"/>
    <cellStyle name="Note 9" xfId="1765" xr:uid="{00000000-0005-0000-0000-00000C0A0000}"/>
    <cellStyle name="Note 9 2" xfId="1766" xr:uid="{00000000-0005-0000-0000-00000D0A0000}"/>
    <cellStyle name="Notes" xfId="1767" xr:uid="{00000000-0005-0000-0000-00000E0A0000}"/>
    <cellStyle name="Notes 2" xfId="1768" xr:uid="{00000000-0005-0000-0000-00000F0A0000}"/>
    <cellStyle name="notes 3" xfId="1769" xr:uid="{00000000-0005-0000-0000-0000100A0000}"/>
    <cellStyle name="notes 4" xfId="1770" xr:uid="{00000000-0005-0000-0000-0000110A0000}"/>
    <cellStyle name="notes 5" xfId="1771" xr:uid="{00000000-0005-0000-0000-0000120A0000}"/>
    <cellStyle name="notes 6" xfId="1772" xr:uid="{00000000-0005-0000-0000-0000130A0000}"/>
    <cellStyle name="notes 7" xfId="1773" xr:uid="{00000000-0005-0000-0000-0000140A0000}"/>
    <cellStyle name="Ôèíàíñîâûé [0]_ÃËÀØÀ" xfId="2145" xr:uid="{00000000-0005-0000-0000-0000150A0000}"/>
    <cellStyle name="Ôèíàíñîâûé_ÃËÀØÀ" xfId="2146" xr:uid="{00000000-0005-0000-0000-0000160A0000}"/>
    <cellStyle name="Of which" xfId="1774" xr:uid="{00000000-0005-0000-0000-0000170A0000}"/>
    <cellStyle name="ohneP" xfId="1775" xr:uid="{00000000-0005-0000-0000-0000180A0000}"/>
    <cellStyle name="Òûñÿ÷è [0]_×èàòóðà Ô" xfId="2147" xr:uid="{00000000-0005-0000-0000-0000190A0000}"/>
    <cellStyle name="Òûñÿ÷è_×èàòóðà Ô" xfId="2148" xr:uid="{00000000-0005-0000-0000-00001A0A0000}"/>
    <cellStyle name="Output" xfId="20" builtinId="21" customBuiltin="1"/>
    <cellStyle name="Output 10" xfId="1776" xr:uid="{00000000-0005-0000-0000-00001C0A0000}"/>
    <cellStyle name="Output 2" xfId="1777" xr:uid="{00000000-0005-0000-0000-00001D0A0000}"/>
    <cellStyle name="Output 2 2" xfId="1778" xr:uid="{00000000-0005-0000-0000-00001E0A0000}"/>
    <cellStyle name="Output 3" xfId="1779" xr:uid="{00000000-0005-0000-0000-00001F0A0000}"/>
    <cellStyle name="Output 3 2" xfId="1780" xr:uid="{00000000-0005-0000-0000-0000200A0000}"/>
    <cellStyle name="Output 4" xfId="1781" xr:uid="{00000000-0005-0000-0000-0000210A0000}"/>
    <cellStyle name="Output 4 2" xfId="1782" xr:uid="{00000000-0005-0000-0000-0000220A0000}"/>
    <cellStyle name="Output 5" xfId="1783" xr:uid="{00000000-0005-0000-0000-0000230A0000}"/>
    <cellStyle name="Output 5 2" xfId="1784" xr:uid="{00000000-0005-0000-0000-0000240A0000}"/>
    <cellStyle name="Output 6" xfId="1785" xr:uid="{00000000-0005-0000-0000-0000250A0000}"/>
    <cellStyle name="Output 6 2" xfId="1786" xr:uid="{00000000-0005-0000-0000-0000260A0000}"/>
    <cellStyle name="Output 7" xfId="1787" xr:uid="{00000000-0005-0000-0000-0000270A0000}"/>
    <cellStyle name="Output 7 2" xfId="1788" xr:uid="{00000000-0005-0000-0000-0000280A0000}"/>
    <cellStyle name="Output 8" xfId="1789" xr:uid="{00000000-0005-0000-0000-0000290A0000}"/>
    <cellStyle name="Output 8 2" xfId="1790" xr:uid="{00000000-0005-0000-0000-00002A0A0000}"/>
    <cellStyle name="Output 9" xfId="1791" xr:uid="{00000000-0005-0000-0000-00002B0A0000}"/>
    <cellStyle name="Output 9 2" xfId="1792" xr:uid="{00000000-0005-0000-0000-00002C0A0000}"/>
    <cellStyle name="Percen - Style1" xfId="84" xr:uid="{00000000-0005-0000-0000-00002D0A0000}"/>
    <cellStyle name="Percen - Style1 2" xfId="2821" xr:uid="{00000000-0005-0000-0000-00002E0A0000}"/>
    <cellStyle name="Percen - Style1 3" xfId="2822" xr:uid="{00000000-0005-0000-0000-00002F0A0000}"/>
    <cellStyle name="Percen - Style1 4" xfId="2334" xr:uid="{00000000-0005-0000-0000-0000300A0000}"/>
    <cellStyle name="Percent [2]" xfId="1793" xr:uid="{00000000-0005-0000-0000-0000310A0000}"/>
    <cellStyle name="Percent 10" xfId="1794" xr:uid="{00000000-0005-0000-0000-0000320A0000}"/>
    <cellStyle name="Percent 11" xfId="1795" xr:uid="{00000000-0005-0000-0000-0000330A0000}"/>
    <cellStyle name="Percent 12" xfId="1796" xr:uid="{00000000-0005-0000-0000-0000340A0000}"/>
    <cellStyle name="Percent 12 2" xfId="1797" xr:uid="{00000000-0005-0000-0000-0000350A0000}"/>
    <cellStyle name="Percent 13" xfId="1798" xr:uid="{00000000-0005-0000-0000-0000360A0000}"/>
    <cellStyle name="Percent 14" xfId="1799" xr:uid="{00000000-0005-0000-0000-0000370A0000}"/>
    <cellStyle name="Percent 15" xfId="1800" xr:uid="{00000000-0005-0000-0000-0000380A0000}"/>
    <cellStyle name="Percent 16" xfId="1801" xr:uid="{00000000-0005-0000-0000-0000390A0000}"/>
    <cellStyle name="Percent 17" xfId="1802" xr:uid="{00000000-0005-0000-0000-00003A0A0000}"/>
    <cellStyle name="Percent 17 2" xfId="1803" xr:uid="{00000000-0005-0000-0000-00003B0A0000}"/>
    <cellStyle name="Percent 18" xfId="1804" xr:uid="{00000000-0005-0000-0000-00003C0A0000}"/>
    <cellStyle name="Percent 19" xfId="1805" xr:uid="{00000000-0005-0000-0000-00003D0A0000}"/>
    <cellStyle name="Percent 2" xfId="1806" xr:uid="{00000000-0005-0000-0000-00003E0A0000}"/>
    <cellStyle name="Percent 2 2" xfId="1807" xr:uid="{00000000-0005-0000-0000-00003F0A0000}"/>
    <cellStyle name="Percent 2 3" xfId="1808" xr:uid="{00000000-0005-0000-0000-0000400A0000}"/>
    <cellStyle name="Percent 2 4" xfId="1809" xr:uid="{00000000-0005-0000-0000-0000410A0000}"/>
    <cellStyle name="Percent 2 5" xfId="1810" xr:uid="{00000000-0005-0000-0000-0000420A0000}"/>
    <cellStyle name="Percent 2 6" xfId="1811" xr:uid="{00000000-0005-0000-0000-0000430A0000}"/>
    <cellStyle name="Percent 2 7" xfId="1812" xr:uid="{00000000-0005-0000-0000-0000440A0000}"/>
    <cellStyle name="Percent 2 8" xfId="1813" xr:uid="{00000000-0005-0000-0000-0000450A0000}"/>
    <cellStyle name="Percent 20" xfId="1814" xr:uid="{00000000-0005-0000-0000-0000460A0000}"/>
    <cellStyle name="Percent 21" xfId="1815" xr:uid="{00000000-0005-0000-0000-0000470A0000}"/>
    <cellStyle name="Percent 22" xfId="1816" xr:uid="{00000000-0005-0000-0000-0000480A0000}"/>
    <cellStyle name="Percent 23" xfId="1817" xr:uid="{00000000-0005-0000-0000-0000490A0000}"/>
    <cellStyle name="Percent 24" xfId="1818" xr:uid="{00000000-0005-0000-0000-00004A0A0000}"/>
    <cellStyle name="Percent 25" xfId="1819" xr:uid="{00000000-0005-0000-0000-00004B0A0000}"/>
    <cellStyle name="Percent 26" xfId="1820" xr:uid="{00000000-0005-0000-0000-00004C0A0000}"/>
    <cellStyle name="Percent 27" xfId="1821" xr:uid="{00000000-0005-0000-0000-00004D0A0000}"/>
    <cellStyle name="Percent 28" xfId="1822" xr:uid="{00000000-0005-0000-0000-00004E0A0000}"/>
    <cellStyle name="Percent 29" xfId="1823" xr:uid="{00000000-0005-0000-0000-00004F0A0000}"/>
    <cellStyle name="Percent 3" xfId="1824" xr:uid="{00000000-0005-0000-0000-0000500A0000}"/>
    <cellStyle name="Percent 3 2" xfId="1825" xr:uid="{00000000-0005-0000-0000-0000510A0000}"/>
    <cellStyle name="Percent 3 3" xfId="1826" xr:uid="{00000000-0005-0000-0000-0000520A0000}"/>
    <cellStyle name="Percent 30" xfId="1827" xr:uid="{00000000-0005-0000-0000-0000530A0000}"/>
    <cellStyle name="Percent 31" xfId="1828" xr:uid="{00000000-0005-0000-0000-0000540A0000}"/>
    <cellStyle name="Percent 32" xfId="1829" xr:uid="{00000000-0005-0000-0000-0000550A0000}"/>
    <cellStyle name="Percent 33" xfId="1830" xr:uid="{00000000-0005-0000-0000-0000560A0000}"/>
    <cellStyle name="Percent 34" xfId="1831" xr:uid="{00000000-0005-0000-0000-0000570A0000}"/>
    <cellStyle name="Percent 35" xfId="1832" xr:uid="{00000000-0005-0000-0000-0000580A0000}"/>
    <cellStyle name="Percent 36" xfId="1833" xr:uid="{00000000-0005-0000-0000-0000590A0000}"/>
    <cellStyle name="Percent 37" xfId="1834" xr:uid="{00000000-0005-0000-0000-00005A0A0000}"/>
    <cellStyle name="Percent 38" xfId="1835" xr:uid="{00000000-0005-0000-0000-00005B0A0000}"/>
    <cellStyle name="Percent 39" xfId="1836" xr:uid="{00000000-0005-0000-0000-00005C0A0000}"/>
    <cellStyle name="Percent 4" xfId="1837" xr:uid="{00000000-0005-0000-0000-00005D0A0000}"/>
    <cellStyle name="Percent 4 2" xfId="2347" xr:uid="{00000000-0005-0000-0000-00005E0A0000}"/>
    <cellStyle name="Percent 40" xfId="1838" xr:uid="{00000000-0005-0000-0000-00005F0A0000}"/>
    <cellStyle name="Percent 41" xfId="1839" xr:uid="{00000000-0005-0000-0000-0000600A0000}"/>
    <cellStyle name="Percent 42" xfId="1840" xr:uid="{00000000-0005-0000-0000-0000610A0000}"/>
    <cellStyle name="Percent 43" xfId="1841" xr:uid="{00000000-0005-0000-0000-0000620A0000}"/>
    <cellStyle name="Percent 44" xfId="1842" xr:uid="{00000000-0005-0000-0000-0000630A0000}"/>
    <cellStyle name="Percent 45" xfId="1843" xr:uid="{00000000-0005-0000-0000-0000640A0000}"/>
    <cellStyle name="Percent 46" xfId="1844" xr:uid="{00000000-0005-0000-0000-0000650A0000}"/>
    <cellStyle name="Percent 47" xfId="2345" xr:uid="{00000000-0005-0000-0000-0000660A0000}"/>
    <cellStyle name="Percent 48" xfId="2352" xr:uid="{00000000-0005-0000-0000-0000670A0000}"/>
    <cellStyle name="Percent 49" xfId="2823" xr:uid="{00000000-0005-0000-0000-0000680A0000}"/>
    <cellStyle name="Percent 5" xfId="1845" xr:uid="{00000000-0005-0000-0000-0000690A0000}"/>
    <cellStyle name="Percent 5 2" xfId="2348" xr:uid="{00000000-0005-0000-0000-00006A0A0000}"/>
    <cellStyle name="Percent 50" xfId="2824" xr:uid="{00000000-0005-0000-0000-00006B0A0000}"/>
    <cellStyle name="Percent 51" xfId="2825" xr:uid="{00000000-0005-0000-0000-00006C0A0000}"/>
    <cellStyle name="Percent 52" xfId="2826" xr:uid="{00000000-0005-0000-0000-00006D0A0000}"/>
    <cellStyle name="Percent 53" xfId="2827" xr:uid="{00000000-0005-0000-0000-00006E0A0000}"/>
    <cellStyle name="Percent 54" xfId="2828" xr:uid="{00000000-0005-0000-0000-00006F0A0000}"/>
    <cellStyle name="Percent 55" xfId="2829" xr:uid="{00000000-0005-0000-0000-0000700A0000}"/>
    <cellStyle name="Percent 56" xfId="2830" xr:uid="{00000000-0005-0000-0000-0000710A0000}"/>
    <cellStyle name="Percent 57" xfId="2831" xr:uid="{00000000-0005-0000-0000-0000720A0000}"/>
    <cellStyle name="Percent 58" xfId="2832" xr:uid="{00000000-0005-0000-0000-0000730A0000}"/>
    <cellStyle name="Percent 59" xfId="2833" xr:uid="{00000000-0005-0000-0000-0000740A0000}"/>
    <cellStyle name="Percent 6" xfId="1846" xr:uid="{00000000-0005-0000-0000-0000750A0000}"/>
    <cellStyle name="Percent 6 2" xfId="2349" xr:uid="{00000000-0005-0000-0000-0000760A0000}"/>
    <cellStyle name="Percent 60" xfId="2834" xr:uid="{00000000-0005-0000-0000-0000770A0000}"/>
    <cellStyle name="Percent 61" xfId="2835" xr:uid="{00000000-0005-0000-0000-0000780A0000}"/>
    <cellStyle name="Percent 62" xfId="2836" xr:uid="{00000000-0005-0000-0000-0000790A0000}"/>
    <cellStyle name="Percent 63" xfId="2837" xr:uid="{00000000-0005-0000-0000-00007A0A0000}"/>
    <cellStyle name="Percent 64" xfId="2838" xr:uid="{00000000-0005-0000-0000-00007B0A0000}"/>
    <cellStyle name="Percent 65" xfId="2839" xr:uid="{00000000-0005-0000-0000-00007C0A0000}"/>
    <cellStyle name="Percent 66" xfId="2840" xr:uid="{00000000-0005-0000-0000-00007D0A0000}"/>
    <cellStyle name="Percent 67" xfId="2841" xr:uid="{00000000-0005-0000-0000-00007E0A0000}"/>
    <cellStyle name="Percent 68" xfId="2842" xr:uid="{00000000-0005-0000-0000-00007F0A0000}"/>
    <cellStyle name="Percent 69" xfId="2843" xr:uid="{00000000-0005-0000-0000-0000800A0000}"/>
    <cellStyle name="Percent 7" xfId="1847" xr:uid="{00000000-0005-0000-0000-0000810A0000}"/>
    <cellStyle name="Percent 7 2" xfId="2350" xr:uid="{00000000-0005-0000-0000-0000820A0000}"/>
    <cellStyle name="Percent 70" xfId="2844" xr:uid="{00000000-0005-0000-0000-0000830A0000}"/>
    <cellStyle name="Percent 71" xfId="2845" xr:uid="{00000000-0005-0000-0000-0000840A0000}"/>
    <cellStyle name="Percent 72" xfId="2846" xr:uid="{00000000-0005-0000-0000-0000850A0000}"/>
    <cellStyle name="Percent 73" xfId="2847" xr:uid="{00000000-0005-0000-0000-0000860A0000}"/>
    <cellStyle name="Percent 74" xfId="2848" xr:uid="{00000000-0005-0000-0000-0000870A0000}"/>
    <cellStyle name="Percent 75" xfId="2849" xr:uid="{00000000-0005-0000-0000-0000880A0000}"/>
    <cellStyle name="Percent 76" xfId="2850" xr:uid="{00000000-0005-0000-0000-0000890A0000}"/>
    <cellStyle name="Percent 77" xfId="2851" xr:uid="{00000000-0005-0000-0000-00008A0A0000}"/>
    <cellStyle name="Percent 78" xfId="2852" xr:uid="{00000000-0005-0000-0000-00008B0A0000}"/>
    <cellStyle name="Percent 79" xfId="2853" xr:uid="{00000000-0005-0000-0000-00008C0A0000}"/>
    <cellStyle name="Percent 8" xfId="1848" xr:uid="{00000000-0005-0000-0000-00008D0A0000}"/>
    <cellStyle name="Percent 80" xfId="2854" xr:uid="{00000000-0005-0000-0000-00008E0A0000}"/>
    <cellStyle name="Percent 81" xfId="2855" xr:uid="{00000000-0005-0000-0000-00008F0A0000}"/>
    <cellStyle name="Percent 82" xfId="2856" xr:uid="{00000000-0005-0000-0000-0000900A0000}"/>
    <cellStyle name="Percent 83" xfId="2857" xr:uid="{00000000-0005-0000-0000-0000910A0000}"/>
    <cellStyle name="Percent 84" xfId="2858" xr:uid="{00000000-0005-0000-0000-0000920A0000}"/>
    <cellStyle name="Percent 85" xfId="2859" xr:uid="{00000000-0005-0000-0000-0000930A0000}"/>
    <cellStyle name="Percent 86" xfId="2860" xr:uid="{00000000-0005-0000-0000-0000940A0000}"/>
    <cellStyle name="Percent 87" xfId="2861" xr:uid="{00000000-0005-0000-0000-0000950A0000}"/>
    <cellStyle name="Percent 88" xfId="2862" xr:uid="{00000000-0005-0000-0000-0000960A0000}"/>
    <cellStyle name="Percent 89" xfId="2071" xr:uid="{00000000-0005-0000-0000-0000970A0000}"/>
    <cellStyle name="Percent 9" xfId="1849" xr:uid="{00000000-0005-0000-0000-0000980A0000}"/>
    <cellStyle name="Percent 90" xfId="2916" xr:uid="{00000000-0005-0000-0000-0000990A0000}"/>
    <cellStyle name="percentage difference" xfId="1850" xr:uid="{00000000-0005-0000-0000-00009A0A0000}"/>
    <cellStyle name="percentage difference 2" xfId="1851" xr:uid="{00000000-0005-0000-0000-00009B0A0000}"/>
    <cellStyle name="percentage difference 3" xfId="1852" xr:uid="{00000000-0005-0000-0000-00009C0A0000}"/>
    <cellStyle name="percentage difference 4" xfId="1853" xr:uid="{00000000-0005-0000-0000-00009D0A0000}"/>
    <cellStyle name="percentage difference 5" xfId="1854" xr:uid="{00000000-0005-0000-0000-00009E0A0000}"/>
    <cellStyle name="percentage difference 6" xfId="1855" xr:uid="{00000000-0005-0000-0000-00009F0A0000}"/>
    <cellStyle name="percentage difference 7" xfId="2863" xr:uid="{00000000-0005-0000-0000-0000A00A0000}"/>
    <cellStyle name="percentage difference 8" xfId="2864" xr:uid="{00000000-0005-0000-0000-0000A10A0000}"/>
    <cellStyle name="percentage difference 9" xfId="2149" xr:uid="{00000000-0005-0000-0000-0000A20A0000}"/>
    <cellStyle name="percentage difference one decimal" xfId="1856" xr:uid="{00000000-0005-0000-0000-0000A30A0000}"/>
    <cellStyle name="percentage difference one decimal 2" xfId="1857" xr:uid="{00000000-0005-0000-0000-0000A40A0000}"/>
    <cellStyle name="percentage difference zero decimal" xfId="1858" xr:uid="{00000000-0005-0000-0000-0000A50A0000}"/>
    <cellStyle name="percentage difference zero decimal 2" xfId="1859" xr:uid="{00000000-0005-0000-0000-0000A60A0000}"/>
    <cellStyle name="Percentual" xfId="1860" xr:uid="{00000000-0005-0000-0000-0000A70A0000}"/>
    <cellStyle name="Ponto" xfId="1861" xr:uid="{00000000-0005-0000-0000-0000A80A0000}"/>
    <cellStyle name="Porcentagem 2" xfId="1862" xr:uid="{00000000-0005-0000-0000-0000A90A0000}"/>
    <cellStyle name="Porcentagem_A.1" xfId="1863" xr:uid="{00000000-0005-0000-0000-0000AA0A0000}"/>
    <cellStyle name="Presentation" xfId="1864" xr:uid="{00000000-0005-0000-0000-0000AB0A0000}"/>
    <cellStyle name="Publication" xfId="85" xr:uid="{00000000-0005-0000-0000-0000AC0A0000}"/>
    <cellStyle name="Publication 2" xfId="1865" xr:uid="{00000000-0005-0000-0000-0000AD0A0000}"/>
    <cellStyle name="Publication 3" xfId="2865" xr:uid="{00000000-0005-0000-0000-0000AE0A0000}"/>
    <cellStyle name="Red Text" xfId="1866" xr:uid="{00000000-0005-0000-0000-0000AF0A0000}"/>
    <cellStyle name="reduced" xfId="1867" xr:uid="{00000000-0005-0000-0000-0000B00A0000}"/>
    <cellStyle name="rodape" xfId="1868" xr:uid="{00000000-0005-0000-0000-0000B10A0000}"/>
    <cellStyle name="row1" xfId="1869" xr:uid="{00000000-0005-0000-0000-0000B20A0000}"/>
    <cellStyle name="semestre" xfId="1870" xr:uid="{00000000-0005-0000-0000-0000B30A0000}"/>
    <cellStyle name="Sep. milhar [0]" xfId="1871" xr:uid="{00000000-0005-0000-0000-0000B40A0000}"/>
    <cellStyle name="Sep. milhar [2]" xfId="1872" xr:uid="{00000000-0005-0000-0000-0000B50A0000}"/>
    <cellStyle name="Separador de m" xfId="1873" xr:uid="{00000000-0005-0000-0000-0000B60A0000}"/>
    <cellStyle name="Separador de m 2" xfId="1874" xr:uid="{00000000-0005-0000-0000-0000B70A0000}"/>
    <cellStyle name="Separador de m 2 2" xfId="1875" xr:uid="{00000000-0005-0000-0000-0000B80A0000}"/>
    <cellStyle name="Separador de m 3" xfId="1876" xr:uid="{00000000-0005-0000-0000-0000B90A0000}"/>
    <cellStyle name="Separador de m 3 2" xfId="1877" xr:uid="{00000000-0005-0000-0000-0000BA0A0000}"/>
    <cellStyle name="Separador de m 4" xfId="1878" xr:uid="{00000000-0005-0000-0000-0000BB0A0000}"/>
    <cellStyle name="Separador de milhares [0]_%PIB" xfId="1879" xr:uid="{00000000-0005-0000-0000-0000BC0A0000}"/>
    <cellStyle name="Separador de milhares 2" xfId="1880" xr:uid="{00000000-0005-0000-0000-0000BD0A0000}"/>
    <cellStyle name="Separador de milhares 2 2" xfId="1881" xr:uid="{00000000-0005-0000-0000-0000BE0A0000}"/>
    <cellStyle name="Separador de milhares 4" xfId="1882" xr:uid="{00000000-0005-0000-0000-0000BF0A0000}"/>
    <cellStyle name="Separador de milhares 4 2" xfId="1883" xr:uid="{00000000-0005-0000-0000-0000C00A0000}"/>
    <cellStyle name="Separador de milhares_%PIB" xfId="1884" xr:uid="{00000000-0005-0000-0000-0000C10A0000}"/>
    <cellStyle name="Standard_Lauren Data August" xfId="1885" xr:uid="{00000000-0005-0000-0000-0000C20A0000}"/>
    <cellStyle name="STYL1 - Style1" xfId="1886" xr:uid="{00000000-0005-0000-0000-0000C30A0000}"/>
    <cellStyle name="Style 1" xfId="58" xr:uid="{00000000-0005-0000-0000-0000C40A0000}"/>
    <cellStyle name="Style 1 2" xfId="1888" xr:uid="{00000000-0005-0000-0000-0000C50A0000}"/>
    <cellStyle name="Style 1 2 2" xfId="2151" xr:uid="{00000000-0005-0000-0000-0000C60A0000}"/>
    <cellStyle name="Style 1 3" xfId="2866" xr:uid="{00000000-0005-0000-0000-0000C70A0000}"/>
    <cellStyle name="Style 1 4" xfId="2867" xr:uid="{00000000-0005-0000-0000-0000C80A0000}"/>
    <cellStyle name="Style 1 5" xfId="2150" xr:uid="{00000000-0005-0000-0000-0000C90A0000}"/>
    <cellStyle name="Style 1 6" xfId="1887" xr:uid="{00000000-0005-0000-0000-0000CA0A0000}"/>
    <cellStyle name="Style1" xfId="86" xr:uid="{00000000-0005-0000-0000-0000CB0A0000}"/>
    <cellStyle name="Style1 2" xfId="2868" xr:uid="{00000000-0005-0000-0000-0000CC0A0000}"/>
    <cellStyle name="Style1 3" xfId="2869" xr:uid="{00000000-0005-0000-0000-0000CD0A0000}"/>
    <cellStyle name="Style1 4" xfId="2335" xr:uid="{00000000-0005-0000-0000-0000CE0A0000}"/>
    <cellStyle name="Tajik" xfId="1889" xr:uid="{00000000-0005-0000-0000-0000CF0A0000}"/>
    <cellStyle name="tête chapitre" xfId="1890" xr:uid="{00000000-0005-0000-0000-0000D00A0000}"/>
    <cellStyle name="Text" xfId="1891" xr:uid="{00000000-0005-0000-0000-0000D10A0000}"/>
    <cellStyle name="Text 2" xfId="1892" xr:uid="{00000000-0005-0000-0000-0000D20A0000}"/>
    <cellStyle name="Text 3" xfId="2870" xr:uid="{00000000-0005-0000-0000-0000D30A0000}"/>
    <cellStyle name="Title" xfId="11" builtinId="15" customBuiltin="1"/>
    <cellStyle name="Title 10" xfId="1893" xr:uid="{00000000-0005-0000-0000-0000D50A0000}"/>
    <cellStyle name="Title 2" xfId="1894" xr:uid="{00000000-0005-0000-0000-0000D60A0000}"/>
    <cellStyle name="Title 2 2" xfId="1895" xr:uid="{00000000-0005-0000-0000-0000D70A0000}"/>
    <cellStyle name="Title 3" xfId="1896" xr:uid="{00000000-0005-0000-0000-0000D80A0000}"/>
    <cellStyle name="Title 3 2" xfId="1897" xr:uid="{00000000-0005-0000-0000-0000D90A0000}"/>
    <cellStyle name="Title 4" xfId="1898" xr:uid="{00000000-0005-0000-0000-0000DA0A0000}"/>
    <cellStyle name="Title 4 2" xfId="1899" xr:uid="{00000000-0005-0000-0000-0000DB0A0000}"/>
    <cellStyle name="Title 5" xfId="1900" xr:uid="{00000000-0005-0000-0000-0000DC0A0000}"/>
    <cellStyle name="Title 5 2" xfId="1901" xr:uid="{00000000-0005-0000-0000-0000DD0A0000}"/>
    <cellStyle name="Title 6" xfId="1902" xr:uid="{00000000-0005-0000-0000-0000DE0A0000}"/>
    <cellStyle name="Title 6 2" xfId="1903" xr:uid="{00000000-0005-0000-0000-0000DF0A0000}"/>
    <cellStyle name="Title 7" xfId="1904" xr:uid="{00000000-0005-0000-0000-0000E00A0000}"/>
    <cellStyle name="Title 7 2" xfId="1905" xr:uid="{00000000-0005-0000-0000-0000E10A0000}"/>
    <cellStyle name="Title 8" xfId="1906" xr:uid="{00000000-0005-0000-0000-0000E20A0000}"/>
    <cellStyle name="Title 8 2" xfId="1907" xr:uid="{00000000-0005-0000-0000-0000E30A0000}"/>
    <cellStyle name="Title 9" xfId="1908" xr:uid="{00000000-0005-0000-0000-0000E40A0000}"/>
    <cellStyle name="Title 9 2" xfId="1909" xr:uid="{00000000-0005-0000-0000-0000E50A0000}"/>
    <cellStyle name="titre" xfId="1910" xr:uid="{00000000-0005-0000-0000-0000E60A0000}"/>
    <cellStyle name="Titulo" xfId="1911" xr:uid="{00000000-0005-0000-0000-0000E70A0000}"/>
    <cellStyle name="Titulo1" xfId="1912" xr:uid="{00000000-0005-0000-0000-0000E80A0000}"/>
    <cellStyle name="Titulo1 10" xfId="1913" xr:uid="{00000000-0005-0000-0000-0000E90A0000}"/>
    <cellStyle name="Titulo1 2" xfId="1914" xr:uid="{00000000-0005-0000-0000-0000EA0A0000}"/>
    <cellStyle name="Titulo1 2 2" xfId="1915" xr:uid="{00000000-0005-0000-0000-0000EB0A0000}"/>
    <cellStyle name="Titulo1 2 3" xfId="1916" xr:uid="{00000000-0005-0000-0000-0000EC0A0000}"/>
    <cellStyle name="Titulo1 2 4" xfId="1917" xr:uid="{00000000-0005-0000-0000-0000ED0A0000}"/>
    <cellStyle name="Titulo1 3" xfId="1918" xr:uid="{00000000-0005-0000-0000-0000EE0A0000}"/>
    <cellStyle name="Titulo1 4" xfId="1919" xr:uid="{00000000-0005-0000-0000-0000EF0A0000}"/>
    <cellStyle name="Titulo1 5" xfId="1920" xr:uid="{00000000-0005-0000-0000-0000F00A0000}"/>
    <cellStyle name="Titulo1 6" xfId="1921" xr:uid="{00000000-0005-0000-0000-0000F10A0000}"/>
    <cellStyle name="Titulo1 7" xfId="1922" xr:uid="{00000000-0005-0000-0000-0000F20A0000}"/>
    <cellStyle name="Titulo1 8" xfId="1923" xr:uid="{00000000-0005-0000-0000-0000F30A0000}"/>
    <cellStyle name="Titulo1 9" xfId="1924" xr:uid="{00000000-0005-0000-0000-0000F40A0000}"/>
    <cellStyle name="Titulo2" xfId="1925" xr:uid="{00000000-0005-0000-0000-0000F50A0000}"/>
    <cellStyle name="Titulo2 10" xfId="1926" xr:uid="{00000000-0005-0000-0000-0000F60A0000}"/>
    <cellStyle name="Titulo2 2" xfId="1927" xr:uid="{00000000-0005-0000-0000-0000F70A0000}"/>
    <cellStyle name="Titulo2 2 2" xfId="1928" xr:uid="{00000000-0005-0000-0000-0000F80A0000}"/>
    <cellStyle name="Titulo2 2 3" xfId="1929" xr:uid="{00000000-0005-0000-0000-0000F90A0000}"/>
    <cellStyle name="Titulo2 2 4" xfId="1930" xr:uid="{00000000-0005-0000-0000-0000FA0A0000}"/>
    <cellStyle name="Titulo2 3" xfId="1931" xr:uid="{00000000-0005-0000-0000-0000FB0A0000}"/>
    <cellStyle name="Titulo2 4" xfId="1932" xr:uid="{00000000-0005-0000-0000-0000FC0A0000}"/>
    <cellStyle name="Titulo2 5" xfId="1933" xr:uid="{00000000-0005-0000-0000-0000FD0A0000}"/>
    <cellStyle name="Titulo2 6" xfId="1934" xr:uid="{00000000-0005-0000-0000-0000FE0A0000}"/>
    <cellStyle name="Titulo2 7" xfId="1935" xr:uid="{00000000-0005-0000-0000-0000FF0A0000}"/>
    <cellStyle name="Titulo2 8" xfId="1936" xr:uid="{00000000-0005-0000-0000-0000000B0000}"/>
    <cellStyle name="Titulo2 9" xfId="1937" xr:uid="{00000000-0005-0000-0000-0000010B0000}"/>
    <cellStyle name="TopGrey" xfId="1938" xr:uid="{00000000-0005-0000-0000-0000020B0000}"/>
    <cellStyle name="Total" xfId="26" builtinId="25" customBuiltin="1"/>
    <cellStyle name="Total 10" xfId="1939" xr:uid="{00000000-0005-0000-0000-0000040B0000}"/>
    <cellStyle name="Total 11" xfId="1940" xr:uid="{00000000-0005-0000-0000-0000050B0000}"/>
    <cellStyle name="Total 12" xfId="1941" xr:uid="{00000000-0005-0000-0000-0000060B0000}"/>
    <cellStyle name="Total 13" xfId="1942" xr:uid="{00000000-0005-0000-0000-0000070B0000}"/>
    <cellStyle name="Total 14" xfId="1943" xr:uid="{00000000-0005-0000-0000-0000080B0000}"/>
    <cellStyle name="Total 15" xfId="1944" xr:uid="{00000000-0005-0000-0000-0000090B0000}"/>
    <cellStyle name="Total 16" xfId="1945" xr:uid="{00000000-0005-0000-0000-00000A0B0000}"/>
    <cellStyle name="Total 17" xfId="2871" xr:uid="{00000000-0005-0000-0000-00000B0B0000}"/>
    <cellStyle name="Total 18" xfId="2872" xr:uid="{00000000-0005-0000-0000-00000C0B0000}"/>
    <cellStyle name="Total 19" xfId="87" xr:uid="{00000000-0005-0000-0000-00000D0B0000}"/>
    <cellStyle name="Total 2" xfId="1946" xr:uid="{00000000-0005-0000-0000-00000E0B0000}"/>
    <cellStyle name="Total 2 2" xfId="1947" xr:uid="{00000000-0005-0000-0000-00000F0B0000}"/>
    <cellStyle name="Total 2 3" xfId="1948" xr:uid="{00000000-0005-0000-0000-0000100B0000}"/>
    <cellStyle name="Total 3" xfId="1949" xr:uid="{00000000-0005-0000-0000-0000110B0000}"/>
    <cellStyle name="Total 4" xfId="1950" xr:uid="{00000000-0005-0000-0000-0000120B0000}"/>
    <cellStyle name="Total 5" xfId="1951" xr:uid="{00000000-0005-0000-0000-0000130B0000}"/>
    <cellStyle name="Total 6" xfId="1952" xr:uid="{00000000-0005-0000-0000-0000140B0000}"/>
    <cellStyle name="Total 7" xfId="1953" xr:uid="{00000000-0005-0000-0000-0000150B0000}"/>
    <cellStyle name="Total 8" xfId="1954" xr:uid="{00000000-0005-0000-0000-0000160B0000}"/>
    <cellStyle name="Total 9" xfId="1955" xr:uid="{00000000-0005-0000-0000-0000170B0000}"/>
    <cellStyle name="Tusental (0)_Bank D" xfId="2873" xr:uid="{00000000-0005-0000-0000-0000180B0000}"/>
    <cellStyle name="USD" xfId="1956" xr:uid="{00000000-0005-0000-0000-0000190B0000}"/>
    <cellStyle name="USD 2" xfId="1957" xr:uid="{00000000-0005-0000-0000-00001A0B0000}"/>
    <cellStyle name="USD Paren" xfId="1958" xr:uid="{00000000-0005-0000-0000-00001B0B0000}"/>
    <cellStyle name="USD_Black Box 10 UNLOCKED" xfId="1959" xr:uid="{00000000-0005-0000-0000-00001C0B0000}"/>
    <cellStyle name="V¡rgula" xfId="1960" xr:uid="{00000000-0005-0000-0000-00001D0B0000}"/>
    <cellStyle name="V¡rgula0" xfId="1961" xr:uid="{00000000-0005-0000-0000-00001E0B0000}"/>
    <cellStyle name="Valuta (0)_Bank D" xfId="2874" xr:uid="{00000000-0005-0000-0000-00001F0B0000}"/>
    <cellStyle name="Vírgula" xfId="1962" xr:uid="{00000000-0005-0000-0000-0000200B0000}"/>
    <cellStyle name="Vírgula 2" xfId="1963" xr:uid="{00000000-0005-0000-0000-0000210B0000}"/>
    <cellStyle name="Vírgula 2 2" xfId="1964" xr:uid="{00000000-0005-0000-0000-0000220B0000}"/>
    <cellStyle name="Vírgula 3" xfId="1965" xr:uid="{00000000-0005-0000-0000-0000230B0000}"/>
    <cellStyle name="Vírgula 3 2" xfId="1966" xr:uid="{00000000-0005-0000-0000-0000240B0000}"/>
    <cellStyle name="Vírgula 4" xfId="1967" xr:uid="{00000000-0005-0000-0000-0000250B0000}"/>
    <cellStyle name="Warning Text" xfId="24" builtinId="11" customBuiltin="1"/>
    <cellStyle name="Warning Text 10" xfId="1968" xr:uid="{00000000-0005-0000-0000-0000270B0000}"/>
    <cellStyle name="Warning Text 2" xfId="1969" xr:uid="{00000000-0005-0000-0000-0000280B0000}"/>
    <cellStyle name="Warning Text 2 2" xfId="1970" xr:uid="{00000000-0005-0000-0000-0000290B0000}"/>
    <cellStyle name="Warning Text 3" xfId="1971" xr:uid="{00000000-0005-0000-0000-00002A0B0000}"/>
    <cellStyle name="Warning Text 3 2" xfId="1972" xr:uid="{00000000-0005-0000-0000-00002B0B0000}"/>
    <cellStyle name="Warning Text 4" xfId="1973" xr:uid="{00000000-0005-0000-0000-00002C0B0000}"/>
    <cellStyle name="Warning Text 4 2" xfId="1974" xr:uid="{00000000-0005-0000-0000-00002D0B0000}"/>
    <cellStyle name="Warning Text 5" xfId="1975" xr:uid="{00000000-0005-0000-0000-00002E0B0000}"/>
    <cellStyle name="Warning Text 5 2" xfId="1976" xr:uid="{00000000-0005-0000-0000-00002F0B0000}"/>
    <cellStyle name="Warning Text 6" xfId="1977" xr:uid="{00000000-0005-0000-0000-0000300B0000}"/>
    <cellStyle name="Warning Text 6 2" xfId="1978" xr:uid="{00000000-0005-0000-0000-0000310B0000}"/>
    <cellStyle name="Warning Text 7" xfId="1979" xr:uid="{00000000-0005-0000-0000-0000320B0000}"/>
    <cellStyle name="Warning Text 7 2" xfId="1980" xr:uid="{00000000-0005-0000-0000-0000330B0000}"/>
    <cellStyle name="Warning Text 8" xfId="1981" xr:uid="{00000000-0005-0000-0000-0000340B0000}"/>
    <cellStyle name="Warning Text 8 2" xfId="1982" xr:uid="{00000000-0005-0000-0000-0000350B0000}"/>
    <cellStyle name="Warning Text 9" xfId="1983" xr:uid="{00000000-0005-0000-0000-0000360B0000}"/>
    <cellStyle name="Warning Text 9 2" xfId="1984" xr:uid="{00000000-0005-0000-0000-0000370B0000}"/>
    <cellStyle name="WebAnchor1" xfId="1985" xr:uid="{00000000-0005-0000-0000-0000380B0000}"/>
    <cellStyle name="WebAnchor1 2" xfId="1986" xr:uid="{00000000-0005-0000-0000-0000390B0000}"/>
    <cellStyle name="WebAnchor2" xfId="1987" xr:uid="{00000000-0005-0000-0000-00003A0B0000}"/>
    <cellStyle name="WebAnchor2 2" xfId="1988" xr:uid="{00000000-0005-0000-0000-00003B0B0000}"/>
    <cellStyle name="WebAnchor3" xfId="1989" xr:uid="{00000000-0005-0000-0000-00003C0B0000}"/>
    <cellStyle name="WebAnchor3 2" xfId="1990" xr:uid="{00000000-0005-0000-0000-00003D0B0000}"/>
    <cellStyle name="WebAnchor4" xfId="1991" xr:uid="{00000000-0005-0000-0000-00003E0B0000}"/>
    <cellStyle name="WebAnchor4 2" xfId="1992" xr:uid="{00000000-0005-0000-0000-00003F0B0000}"/>
    <cellStyle name="WebAnchor5" xfId="1993" xr:uid="{00000000-0005-0000-0000-0000400B0000}"/>
    <cellStyle name="WebAnchor5 2" xfId="1994" xr:uid="{00000000-0005-0000-0000-0000410B0000}"/>
    <cellStyle name="WebAnchor6" xfId="1995" xr:uid="{00000000-0005-0000-0000-0000420B0000}"/>
    <cellStyle name="WebAnchor6 2" xfId="1996" xr:uid="{00000000-0005-0000-0000-0000430B0000}"/>
    <cellStyle name="WebAnchor7" xfId="1997" xr:uid="{00000000-0005-0000-0000-0000440B0000}"/>
    <cellStyle name="WebAnchor7 2" xfId="1998" xr:uid="{00000000-0005-0000-0000-0000450B0000}"/>
    <cellStyle name="WebBold" xfId="1999" xr:uid="{00000000-0005-0000-0000-0000460B0000}"/>
    <cellStyle name="WebBold 2" xfId="2000" xr:uid="{00000000-0005-0000-0000-0000470B0000}"/>
    <cellStyle name="WebDate" xfId="2001" xr:uid="{00000000-0005-0000-0000-0000480B0000}"/>
    <cellStyle name="WebDate 2" xfId="2002" xr:uid="{00000000-0005-0000-0000-0000490B0000}"/>
    <cellStyle name="Webexclude" xfId="2003" xr:uid="{00000000-0005-0000-0000-00004A0B0000}"/>
    <cellStyle name="Webexclude 2" xfId="2004" xr:uid="{00000000-0005-0000-0000-00004B0B0000}"/>
    <cellStyle name="WebFN" xfId="2005" xr:uid="{00000000-0005-0000-0000-00004C0B0000}"/>
    <cellStyle name="WebFN 2" xfId="2006" xr:uid="{00000000-0005-0000-0000-00004D0B0000}"/>
    <cellStyle name="WebFN1" xfId="2007" xr:uid="{00000000-0005-0000-0000-00004E0B0000}"/>
    <cellStyle name="WebFN1 2" xfId="2008" xr:uid="{00000000-0005-0000-0000-00004F0B0000}"/>
    <cellStyle name="WebFN2" xfId="2009" xr:uid="{00000000-0005-0000-0000-0000500B0000}"/>
    <cellStyle name="WebFN3" xfId="2010" xr:uid="{00000000-0005-0000-0000-0000510B0000}"/>
    <cellStyle name="WebFN3 2" xfId="2011" xr:uid="{00000000-0005-0000-0000-0000520B0000}"/>
    <cellStyle name="WebFN4" xfId="2012" xr:uid="{00000000-0005-0000-0000-0000530B0000}"/>
    <cellStyle name="WebHR" xfId="2013" xr:uid="{00000000-0005-0000-0000-0000540B0000}"/>
    <cellStyle name="WebHR 2" xfId="2014" xr:uid="{00000000-0005-0000-0000-0000550B0000}"/>
    <cellStyle name="WebIndent1" xfId="2015" xr:uid="{00000000-0005-0000-0000-0000560B0000}"/>
    <cellStyle name="WebIndent1 2" xfId="2016" xr:uid="{00000000-0005-0000-0000-0000570B0000}"/>
    <cellStyle name="WebIndent1wFN3" xfId="2017" xr:uid="{00000000-0005-0000-0000-0000580B0000}"/>
    <cellStyle name="WebIndent1wFN3 2" xfId="2018" xr:uid="{00000000-0005-0000-0000-0000590B0000}"/>
    <cellStyle name="WebIndent2" xfId="2019" xr:uid="{00000000-0005-0000-0000-00005A0B0000}"/>
    <cellStyle name="WebIndent2 2" xfId="2020" xr:uid="{00000000-0005-0000-0000-00005B0B0000}"/>
    <cellStyle name="WebNoBR" xfId="2021" xr:uid="{00000000-0005-0000-0000-00005C0B0000}"/>
    <cellStyle name="zero" xfId="2022" xr:uid="{00000000-0005-0000-0000-00005D0B0000}"/>
    <cellStyle name="zero 2" xfId="2023" xr:uid="{00000000-0005-0000-0000-00005E0B0000}"/>
    <cellStyle name="Акцент1" xfId="2875" xr:uid="{00000000-0005-0000-0000-00005F0B0000}"/>
    <cellStyle name="Акцент2" xfId="2876" xr:uid="{00000000-0005-0000-0000-0000600B0000}"/>
    <cellStyle name="Акцент3" xfId="2877" xr:uid="{00000000-0005-0000-0000-0000610B0000}"/>
    <cellStyle name="Акцент4" xfId="2878" xr:uid="{00000000-0005-0000-0000-0000620B0000}"/>
    <cellStyle name="Акцент5" xfId="2879" xr:uid="{00000000-0005-0000-0000-0000630B0000}"/>
    <cellStyle name="Акцент6" xfId="2880" xr:uid="{00000000-0005-0000-0000-0000640B0000}"/>
    <cellStyle name="Ввод " xfId="2881" xr:uid="{00000000-0005-0000-0000-0000650B0000}"/>
    <cellStyle name="Вывод" xfId="2882" xr:uid="{00000000-0005-0000-0000-0000660B0000}"/>
    <cellStyle name="Вычисление" xfId="2883" xr:uid="{00000000-0005-0000-0000-0000670B0000}"/>
    <cellStyle name="ДАТА" xfId="2024" xr:uid="{00000000-0005-0000-0000-0000680B0000}"/>
    <cellStyle name="ДАТА 2" xfId="2025" xr:uid="{00000000-0005-0000-0000-0000690B0000}"/>
    <cellStyle name="ДАТА 3" xfId="2884" xr:uid="{00000000-0005-0000-0000-00006A0B0000}"/>
    <cellStyle name="Денежный [0]_453" xfId="2026" xr:uid="{00000000-0005-0000-0000-00006B0B0000}"/>
    <cellStyle name="Денежный_453" xfId="2027" xr:uid="{00000000-0005-0000-0000-00006C0B0000}"/>
    <cellStyle name="Заголовок 1" xfId="2885" xr:uid="{00000000-0005-0000-0000-00006D0B0000}"/>
    <cellStyle name="Заголовок 2" xfId="2886" xr:uid="{00000000-0005-0000-0000-00006E0B0000}"/>
    <cellStyle name="Заголовок 3" xfId="2887" xr:uid="{00000000-0005-0000-0000-00006F0B0000}"/>
    <cellStyle name="Заголовок 4" xfId="2888" xr:uid="{00000000-0005-0000-0000-0000700B0000}"/>
    <cellStyle name="ЗАГОЛОВОК1" xfId="2028" xr:uid="{00000000-0005-0000-0000-0000710B0000}"/>
    <cellStyle name="ЗАГОЛОВОК1 2" xfId="2029" xr:uid="{00000000-0005-0000-0000-0000720B0000}"/>
    <cellStyle name="ЗАГОЛОВОК1 3" xfId="2889" xr:uid="{00000000-0005-0000-0000-0000730B0000}"/>
    <cellStyle name="ЗАГОЛОВОК2" xfId="2030" xr:uid="{00000000-0005-0000-0000-0000740B0000}"/>
    <cellStyle name="ЗАГОЛОВОК2 2" xfId="2031" xr:uid="{00000000-0005-0000-0000-0000750B0000}"/>
    <cellStyle name="ЗАГОЛОВОК2 3" xfId="2890" xr:uid="{00000000-0005-0000-0000-0000760B0000}"/>
    <cellStyle name="Итог" xfId="2891" xr:uid="{00000000-0005-0000-0000-0000770B0000}"/>
    <cellStyle name="ИТОГОВЫЙ" xfId="2032" xr:uid="{00000000-0005-0000-0000-0000780B0000}"/>
    <cellStyle name="ИТОГОВЫЙ 2" xfId="2033" xr:uid="{00000000-0005-0000-0000-0000790B0000}"/>
    <cellStyle name="ИТОГОВЫЙ 3" xfId="2892" xr:uid="{00000000-0005-0000-0000-00007A0B0000}"/>
    <cellStyle name="Контрольная ячейка" xfId="2893" xr:uid="{00000000-0005-0000-0000-00007B0B0000}"/>
    <cellStyle name="Название" xfId="2894" xr:uid="{00000000-0005-0000-0000-00007C0B0000}"/>
    <cellStyle name="Нейтральный" xfId="2895" xr:uid="{00000000-0005-0000-0000-00007D0B0000}"/>
    <cellStyle name="Обычный" xfId="2046" xr:uid="{00000000-0005-0000-0000-00007E0B0000}"/>
    <cellStyle name="Обычный 2" xfId="2896" xr:uid="{00000000-0005-0000-0000-00007F0B0000}"/>
    <cellStyle name="Обычный 2 3" xfId="2897" xr:uid="{00000000-0005-0000-0000-0000800B0000}"/>
    <cellStyle name="Обычный 3" xfId="2898" xr:uid="{00000000-0005-0000-0000-0000810B0000}"/>
    <cellStyle name="Обычный_11" xfId="2339" xr:uid="{00000000-0005-0000-0000-0000820B0000}"/>
    <cellStyle name="Открывавшаяся гиперссылка_Table_B_1999_2000_2001" xfId="2034" xr:uid="{00000000-0005-0000-0000-0000830B0000}"/>
    <cellStyle name="Плохой" xfId="2899" xr:uid="{00000000-0005-0000-0000-0000840B0000}"/>
    <cellStyle name="Пояснение" xfId="2900" xr:uid="{00000000-0005-0000-0000-0000850B0000}"/>
    <cellStyle name="Примечание" xfId="2901" xr:uid="{00000000-0005-0000-0000-0000860B0000}"/>
    <cellStyle name="ПРОЦЕНТНЫЙ_BOPENGC" xfId="2035" xr:uid="{00000000-0005-0000-0000-0000870B0000}"/>
    <cellStyle name="Связанная ячейка" xfId="2902" xr:uid="{00000000-0005-0000-0000-0000880B0000}"/>
    <cellStyle name="ТЕКСТ" xfId="2036" xr:uid="{00000000-0005-0000-0000-0000890B0000}"/>
    <cellStyle name="ТЕКСТ 2" xfId="2037" xr:uid="{00000000-0005-0000-0000-00008A0B0000}"/>
    <cellStyle name="ТЕКСТ 3" xfId="2903" xr:uid="{00000000-0005-0000-0000-00008B0B0000}"/>
    <cellStyle name="Текст предупреждения" xfId="2904" xr:uid="{00000000-0005-0000-0000-00008C0B0000}"/>
    <cellStyle name="ФИКСИРОВАННЫЙ" xfId="2038" xr:uid="{00000000-0005-0000-0000-00008D0B0000}"/>
    <cellStyle name="Финансовый [0]_453" xfId="2039" xr:uid="{00000000-0005-0000-0000-00008E0B0000}"/>
    <cellStyle name="Финансовый 2" xfId="2905" xr:uid="{00000000-0005-0000-0000-00008F0B0000}"/>
    <cellStyle name="Финансовый 2 2" xfId="2906" xr:uid="{00000000-0005-0000-0000-0000900B0000}"/>
    <cellStyle name="Финансовый_453" xfId="2040" xr:uid="{00000000-0005-0000-0000-0000910B0000}"/>
    <cellStyle name="Хороший" xfId="2907" xr:uid="{00000000-0005-0000-0000-0000920B0000}"/>
    <cellStyle name="千分位[0]" xfId="2041" xr:uid="{00000000-0005-0000-0000-0000930B0000}"/>
    <cellStyle name="標準_030710_KGZ_exp_rev2" xfId="2042" xr:uid="{00000000-0005-0000-0000-0000940B0000}"/>
    <cellStyle name="貨幣 [0]" xfId="2043" xr:uid="{00000000-0005-0000-0000-0000950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ar_start%20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outlet - data entry"/>
      <sheetName val="Commodity PIs"/>
      <sheetName val="By commodity"/>
      <sheetName val="Averages "/>
      <sheetName val="% Changes"/>
      <sheetName val="Temp edits"/>
      <sheetName val="Average Prices"/>
      <sheetName val="Contrib (1)"/>
      <sheetName val="Contrib (sort)"/>
      <sheetName val="CPI Calculation All groups"/>
      <sheetName val="Splicing"/>
      <sheetName val="Graphs"/>
      <sheetName val="Table 1"/>
      <sheetName val="Table2 "/>
      <sheetName val="Table 3"/>
      <sheetName val="Table 4"/>
      <sheetName val="Market 04-05"/>
      <sheetName val="Market 05-06"/>
      <sheetName val="Market 07-08"/>
      <sheetName val="Market 08-09"/>
      <sheetName val="Each month"/>
      <sheetName val="Commodities"/>
      <sheetName val="Outlets"/>
      <sheetName val="Unit_Price08"/>
      <sheetName val="Unit_Price09"/>
      <sheetName val="Sheet1"/>
      <sheetName val="contrib_groups"/>
      <sheetName val="Infl_chk"/>
    </sheetNames>
    <sheetDataSet>
      <sheetData sheetId="0"/>
      <sheetData sheetId="1"/>
      <sheetData sheetId="2">
        <row r="1">
          <cell r="E1" t="str">
            <v>Logest</v>
          </cell>
        </row>
        <row r="2">
          <cell r="E2">
            <v>0</v>
          </cell>
        </row>
        <row r="3">
          <cell r="E3">
            <v>0</v>
          </cell>
        </row>
        <row r="4">
          <cell r="E4">
            <v>0</v>
          </cell>
        </row>
        <row r="5">
          <cell r="E5">
            <v>0</v>
          </cell>
        </row>
        <row r="6">
          <cell r="E6">
            <v>0</v>
          </cell>
        </row>
        <row r="7">
          <cell r="E7">
            <v>0</v>
          </cell>
        </row>
        <row r="8">
          <cell r="E8">
            <v>0</v>
          </cell>
        </row>
        <row r="9">
          <cell r="E9">
            <v>0</v>
          </cell>
        </row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SJ31"/>
  <sheetViews>
    <sheetView tabSelected="1" topLeftCell="A4" workbookViewId="0">
      <pane xSplit="3" ySplit="5" topLeftCell="HW9" activePane="bottomRight" state="frozen"/>
      <selection activeCell="A4" sqref="A4"/>
      <selection pane="topRight" activeCell="D4" sqref="D4"/>
      <selection pane="bottomLeft" activeCell="A10" sqref="A10"/>
      <selection pane="bottomRight" activeCell="IN11" sqref="IN11"/>
    </sheetView>
  </sheetViews>
  <sheetFormatPr baseColWidth="10" defaultColWidth="8.83203125" defaultRowHeight="15"/>
  <cols>
    <col min="1" max="1" width="22.33203125" bestFit="1" customWidth="1"/>
    <col min="2" max="2" width="53.33203125" bestFit="1" customWidth="1"/>
    <col min="3" max="3" width="22.33203125" bestFit="1" customWidth="1"/>
    <col min="4" max="4" width="22.33203125" customWidth="1"/>
    <col min="5" max="252" width="9.1640625" style="36"/>
  </cols>
  <sheetData>
    <row r="1" spans="1:495 16051:16052" s="1" customFormat="1">
      <c r="A1" s="2" t="s">
        <v>57</v>
      </c>
      <c r="B1" s="15" t="s">
        <v>58</v>
      </c>
      <c r="C1" s="3" t="s">
        <v>59</v>
      </c>
      <c r="D1" s="29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WSI1" s="4"/>
      <c r="WSJ1" s="4"/>
    </row>
    <row r="2" spans="1:495 16051:16052" s="1" customFormat="1">
      <c r="A2" s="2" t="s">
        <v>60</v>
      </c>
      <c r="B2" s="16" t="s">
        <v>61</v>
      </c>
      <c r="C2" s="3" t="s">
        <v>62</v>
      </c>
      <c r="D2" s="29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WSI2" s="4"/>
      <c r="WSJ2" s="4"/>
    </row>
    <row r="3" spans="1:495 16051:16052" s="1" customFormat="1">
      <c r="A3" s="2" t="s">
        <v>0</v>
      </c>
      <c r="B3" s="17" t="s">
        <v>42</v>
      </c>
      <c r="C3" s="3" t="s">
        <v>15</v>
      </c>
      <c r="D3" s="29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WSI3" s="4" t="s">
        <v>10</v>
      </c>
      <c r="WSJ3" s="4">
        <v>0</v>
      </c>
    </row>
    <row r="4" spans="1:495 16051:16052" s="1" customFormat="1">
      <c r="A4" s="2" t="s">
        <v>1</v>
      </c>
      <c r="B4" s="16" t="s">
        <v>182</v>
      </c>
      <c r="C4" s="3" t="s">
        <v>12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WSI4" s="4" t="s">
        <v>9</v>
      </c>
      <c r="WSJ4" s="4">
        <v>3</v>
      </c>
    </row>
    <row r="5" spans="1:495 16051:16052" s="1" customFormat="1">
      <c r="A5" s="2" t="s">
        <v>2</v>
      </c>
      <c r="B5" s="17" t="s">
        <v>41</v>
      </c>
      <c r="C5" s="3" t="s">
        <v>13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WSI5" s="4" t="s">
        <v>4</v>
      </c>
      <c r="WSJ5" s="4">
        <v>6</v>
      </c>
    </row>
    <row r="6" spans="1:495 16051:16052" s="1" customFormat="1">
      <c r="A6" s="2" t="s">
        <v>3</v>
      </c>
      <c r="B6" s="17" t="s">
        <v>10</v>
      </c>
      <c r="C6" s="3" t="str">
        <f>"Frequency = "&amp;IF(B6="A","Annual",IF(B6="Q", "Quarterly", "Monthly"))</f>
        <v>Frequency = Monthly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</row>
    <row r="7" spans="1:495 16051:16052" s="1" customFormat="1" ht="17" thickBot="1">
      <c r="A7" s="7" t="s">
        <v>11</v>
      </c>
      <c r="B7" s="18" t="s">
        <v>181</v>
      </c>
      <c r="C7" s="8" t="s">
        <v>14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</row>
    <row r="8" spans="1:495 16051:16052" ht="16" thickBot="1"/>
    <row r="9" spans="1:495 16051:16052" s="12" customFormat="1" ht="16" thickBot="1">
      <c r="A9" s="10" t="s">
        <v>8</v>
      </c>
      <c r="B9" s="11" t="s">
        <v>7</v>
      </c>
      <c r="C9" s="11" t="s">
        <v>6</v>
      </c>
      <c r="D9" s="11" t="s">
        <v>5</v>
      </c>
      <c r="E9" s="37">
        <v>1995</v>
      </c>
      <c r="F9" s="37">
        <v>1996</v>
      </c>
      <c r="G9" s="37">
        <v>1997</v>
      </c>
      <c r="H9" s="37">
        <v>1998</v>
      </c>
      <c r="I9" s="37">
        <v>1999</v>
      </c>
      <c r="J9" s="37">
        <v>2000</v>
      </c>
      <c r="K9" s="37">
        <v>2001</v>
      </c>
      <c r="L9" s="37">
        <v>2002</v>
      </c>
      <c r="M9" s="37">
        <v>2003</v>
      </c>
      <c r="N9" s="37">
        <v>2004</v>
      </c>
      <c r="O9" s="37">
        <v>2005</v>
      </c>
      <c r="P9" s="37" t="s">
        <v>185</v>
      </c>
      <c r="Q9" s="37" t="s">
        <v>186</v>
      </c>
      <c r="R9" s="37" t="s">
        <v>187</v>
      </c>
      <c r="S9" s="37" t="s">
        <v>188</v>
      </c>
      <c r="T9" s="37" t="s">
        <v>189</v>
      </c>
      <c r="U9" s="37" t="s">
        <v>190</v>
      </c>
      <c r="V9" s="37" t="s">
        <v>191</v>
      </c>
      <c r="W9" s="37" t="s">
        <v>192</v>
      </c>
      <c r="X9" s="37" t="s">
        <v>193</v>
      </c>
      <c r="Y9" s="37" t="s">
        <v>194</v>
      </c>
      <c r="Z9" s="37" t="s">
        <v>195</v>
      </c>
      <c r="AA9" s="37" t="s">
        <v>196</v>
      </c>
      <c r="AB9" s="37">
        <v>2006</v>
      </c>
      <c r="AC9" s="37" t="s">
        <v>64</v>
      </c>
      <c r="AD9" s="37" t="s">
        <v>65</v>
      </c>
      <c r="AE9" s="37" t="s">
        <v>66</v>
      </c>
      <c r="AF9" s="37" t="s">
        <v>67</v>
      </c>
      <c r="AG9" s="37" t="s">
        <v>68</v>
      </c>
      <c r="AH9" s="37" t="s">
        <v>69</v>
      </c>
      <c r="AI9" s="37" t="s">
        <v>70</v>
      </c>
      <c r="AJ9" s="37" t="s">
        <v>71</v>
      </c>
      <c r="AK9" s="37" t="s">
        <v>72</v>
      </c>
      <c r="AL9" s="37" t="s">
        <v>73</v>
      </c>
      <c r="AM9" s="37" t="s">
        <v>74</v>
      </c>
      <c r="AN9" s="37" t="s">
        <v>75</v>
      </c>
      <c r="AO9" s="37">
        <v>2007</v>
      </c>
      <c r="AP9" s="37" t="s">
        <v>76</v>
      </c>
      <c r="AQ9" s="37" t="s">
        <v>77</v>
      </c>
      <c r="AR9" s="37" t="s">
        <v>78</v>
      </c>
      <c r="AS9" s="37" t="s">
        <v>79</v>
      </c>
      <c r="AT9" s="37" t="s">
        <v>80</v>
      </c>
      <c r="AU9" s="37" t="s">
        <v>81</v>
      </c>
      <c r="AV9" s="37" t="s">
        <v>82</v>
      </c>
      <c r="AW9" s="37" t="s">
        <v>83</v>
      </c>
      <c r="AX9" s="37" t="s">
        <v>84</v>
      </c>
      <c r="AY9" s="37" t="s">
        <v>85</v>
      </c>
      <c r="AZ9" s="37" t="s">
        <v>86</v>
      </c>
      <c r="BA9" s="37" t="s">
        <v>87</v>
      </c>
      <c r="BB9" s="37">
        <v>2008</v>
      </c>
      <c r="BC9" s="37" t="s">
        <v>88</v>
      </c>
      <c r="BD9" s="37" t="s">
        <v>89</v>
      </c>
      <c r="BE9" s="37" t="s">
        <v>90</v>
      </c>
      <c r="BF9" s="37" t="s">
        <v>91</v>
      </c>
      <c r="BG9" s="37" t="s">
        <v>92</v>
      </c>
      <c r="BH9" s="37" t="s">
        <v>93</v>
      </c>
      <c r="BI9" s="37" t="s">
        <v>94</v>
      </c>
      <c r="BJ9" s="37" t="s">
        <v>95</v>
      </c>
      <c r="BK9" s="37" t="s">
        <v>96</v>
      </c>
      <c r="BL9" s="37" t="s">
        <v>97</v>
      </c>
      <c r="BM9" s="37" t="s">
        <v>98</v>
      </c>
      <c r="BN9" s="37" t="s">
        <v>99</v>
      </c>
      <c r="BO9" s="37">
        <v>2009</v>
      </c>
      <c r="BP9" s="37" t="s">
        <v>100</v>
      </c>
      <c r="BQ9" s="37" t="s">
        <v>101</v>
      </c>
      <c r="BR9" s="37" t="s">
        <v>102</v>
      </c>
      <c r="BS9" s="37" t="s">
        <v>103</v>
      </c>
      <c r="BT9" s="37" t="s">
        <v>104</v>
      </c>
      <c r="BU9" s="37" t="s">
        <v>105</v>
      </c>
      <c r="BV9" s="37" t="s">
        <v>106</v>
      </c>
      <c r="BW9" s="37" t="s">
        <v>107</v>
      </c>
      <c r="BX9" s="37" t="s">
        <v>108</v>
      </c>
      <c r="BY9" s="37" t="s">
        <v>109</v>
      </c>
      <c r="BZ9" s="37" t="s">
        <v>110</v>
      </c>
      <c r="CA9" s="37" t="s">
        <v>111</v>
      </c>
      <c r="CB9" s="37">
        <v>2010</v>
      </c>
      <c r="CC9" s="37" t="s">
        <v>112</v>
      </c>
      <c r="CD9" s="37" t="s">
        <v>113</v>
      </c>
      <c r="CE9" s="37" t="s">
        <v>114</v>
      </c>
      <c r="CF9" s="37" t="s">
        <v>115</v>
      </c>
      <c r="CG9" s="37" t="s">
        <v>116</v>
      </c>
      <c r="CH9" s="37" t="s">
        <v>117</v>
      </c>
      <c r="CI9" s="37" t="s">
        <v>118</v>
      </c>
      <c r="CJ9" s="37" t="s">
        <v>119</v>
      </c>
      <c r="CK9" s="37" t="s">
        <v>120</v>
      </c>
      <c r="CL9" s="37" t="s">
        <v>121</v>
      </c>
      <c r="CM9" s="37" t="s">
        <v>122</v>
      </c>
      <c r="CN9" s="37" t="s">
        <v>123</v>
      </c>
      <c r="CO9" s="37">
        <v>2011</v>
      </c>
      <c r="CP9" s="37" t="s">
        <v>124</v>
      </c>
      <c r="CQ9" s="37" t="s">
        <v>125</v>
      </c>
      <c r="CR9" s="37" t="s">
        <v>126</v>
      </c>
      <c r="CS9" s="37" t="s">
        <v>127</v>
      </c>
      <c r="CT9" s="37" t="s">
        <v>128</v>
      </c>
      <c r="CU9" s="37" t="s">
        <v>129</v>
      </c>
      <c r="CV9" s="37" t="s">
        <v>130</v>
      </c>
      <c r="CW9" s="37" t="s">
        <v>131</v>
      </c>
      <c r="CX9" s="37" t="s">
        <v>132</v>
      </c>
      <c r="CY9" s="37" t="s">
        <v>133</v>
      </c>
      <c r="CZ9" s="37" t="s">
        <v>134</v>
      </c>
      <c r="DA9" s="37" t="s">
        <v>135</v>
      </c>
      <c r="DB9" s="37">
        <v>2012</v>
      </c>
      <c r="DC9" s="37" t="s">
        <v>136</v>
      </c>
      <c r="DD9" s="37" t="s">
        <v>137</v>
      </c>
      <c r="DE9" s="37" t="s">
        <v>138</v>
      </c>
      <c r="DF9" s="37" t="s">
        <v>139</v>
      </c>
      <c r="DG9" s="37" t="s">
        <v>140</v>
      </c>
      <c r="DH9" s="37" t="s">
        <v>141</v>
      </c>
      <c r="DI9" s="37" t="s">
        <v>142</v>
      </c>
      <c r="DJ9" s="37" t="s">
        <v>143</v>
      </c>
      <c r="DK9" s="37" t="s">
        <v>144</v>
      </c>
      <c r="DL9" s="37" t="s">
        <v>145</v>
      </c>
      <c r="DM9" s="37" t="s">
        <v>146</v>
      </c>
      <c r="DN9" s="37" t="s">
        <v>147</v>
      </c>
      <c r="DO9" s="37" t="s">
        <v>148</v>
      </c>
      <c r="DP9" s="37" t="s">
        <v>149</v>
      </c>
      <c r="DQ9" s="37" t="s">
        <v>150</v>
      </c>
      <c r="DR9" s="37" t="s">
        <v>151</v>
      </c>
      <c r="DS9" s="37" t="s">
        <v>152</v>
      </c>
      <c r="DT9" s="37" t="s">
        <v>153</v>
      </c>
      <c r="DU9" s="37" t="s">
        <v>154</v>
      </c>
      <c r="DV9" s="37" t="s">
        <v>155</v>
      </c>
      <c r="DW9" s="37" t="s">
        <v>156</v>
      </c>
      <c r="DX9" s="37" t="s">
        <v>157</v>
      </c>
      <c r="DY9" s="37" t="s">
        <v>158</v>
      </c>
      <c r="DZ9" s="37" t="s">
        <v>159</v>
      </c>
      <c r="EA9" s="37" t="s">
        <v>16</v>
      </c>
      <c r="EB9" s="37" t="s">
        <v>19</v>
      </c>
      <c r="EC9" s="37" t="s">
        <v>39</v>
      </c>
      <c r="ED9" s="37" t="s">
        <v>37</v>
      </c>
      <c r="EE9" s="37" t="s">
        <v>35</v>
      </c>
      <c r="EF9" s="37" t="s">
        <v>33</v>
      </c>
      <c r="EG9" s="37" t="s">
        <v>31</v>
      </c>
      <c r="EH9" s="37" t="s">
        <v>29</v>
      </c>
      <c r="EI9" s="37" t="s">
        <v>27</v>
      </c>
      <c r="EJ9" s="37" t="s">
        <v>23</v>
      </c>
      <c r="EK9" s="37" t="s">
        <v>21</v>
      </c>
      <c r="EL9" s="37" t="s">
        <v>25</v>
      </c>
      <c r="EM9" s="37" t="s">
        <v>17</v>
      </c>
      <c r="EN9" s="37" t="s">
        <v>20</v>
      </c>
      <c r="EO9" s="37" t="s">
        <v>40</v>
      </c>
      <c r="EP9" s="37" t="s">
        <v>38</v>
      </c>
      <c r="EQ9" s="37" t="s">
        <v>36</v>
      </c>
      <c r="ER9" s="37" t="s">
        <v>34</v>
      </c>
      <c r="ES9" s="37" t="s">
        <v>32</v>
      </c>
      <c r="ET9" s="37" t="s">
        <v>30</v>
      </c>
      <c r="EU9" s="37" t="s">
        <v>28</v>
      </c>
      <c r="EV9" s="37" t="s">
        <v>24</v>
      </c>
      <c r="EW9" s="37" t="s">
        <v>22</v>
      </c>
      <c r="EX9" s="37" t="s">
        <v>26</v>
      </c>
      <c r="EY9" s="37" t="s">
        <v>18</v>
      </c>
      <c r="EZ9" s="37" t="s">
        <v>43</v>
      </c>
      <c r="FA9" s="37" t="s">
        <v>44</v>
      </c>
      <c r="FB9" s="37" t="s">
        <v>45</v>
      </c>
      <c r="FC9" s="37" t="s">
        <v>46</v>
      </c>
      <c r="FD9" s="37" t="s">
        <v>47</v>
      </c>
      <c r="FE9" s="37" t="s">
        <v>48</v>
      </c>
      <c r="FF9" s="37" t="s">
        <v>49</v>
      </c>
      <c r="FG9" s="37" t="s">
        <v>50</v>
      </c>
      <c r="FH9" s="37" t="s">
        <v>51</v>
      </c>
      <c r="FI9" s="37" t="s">
        <v>52</v>
      </c>
      <c r="FJ9" s="37" t="s">
        <v>53</v>
      </c>
      <c r="FK9" s="37" t="s">
        <v>54</v>
      </c>
      <c r="FL9" s="37" t="s">
        <v>55</v>
      </c>
      <c r="FM9" s="37" t="s">
        <v>56</v>
      </c>
      <c r="FN9" s="37" t="s">
        <v>160</v>
      </c>
      <c r="FO9" s="37" t="s">
        <v>161</v>
      </c>
      <c r="FP9" s="37" t="s">
        <v>162</v>
      </c>
      <c r="FQ9" s="37" t="s">
        <v>163</v>
      </c>
      <c r="FR9" s="37" t="s">
        <v>164</v>
      </c>
      <c r="FS9" s="37" t="s">
        <v>165</v>
      </c>
      <c r="FT9" s="37" t="s">
        <v>166</v>
      </c>
      <c r="FU9" s="37" t="s">
        <v>167</v>
      </c>
      <c r="FV9" s="37" t="s">
        <v>168</v>
      </c>
      <c r="FW9" s="37" t="s">
        <v>169</v>
      </c>
      <c r="FX9" s="37" t="s">
        <v>170</v>
      </c>
      <c r="FY9" s="37" t="s">
        <v>171</v>
      </c>
      <c r="FZ9" s="37" t="s">
        <v>172</v>
      </c>
      <c r="GA9" s="37" t="s">
        <v>173</v>
      </c>
      <c r="GB9" s="37" t="s">
        <v>174</v>
      </c>
      <c r="GC9" s="37" t="s">
        <v>175</v>
      </c>
      <c r="GD9" s="37" t="s">
        <v>176</v>
      </c>
      <c r="GE9" s="37" t="s">
        <v>177</v>
      </c>
      <c r="GF9" s="37" t="s">
        <v>178</v>
      </c>
      <c r="GG9" s="37" t="s">
        <v>179</v>
      </c>
      <c r="GH9" s="37" t="s">
        <v>180</v>
      </c>
      <c r="GI9" s="37" t="s">
        <v>180</v>
      </c>
      <c r="GJ9" s="37" t="s">
        <v>299</v>
      </c>
      <c r="GK9" s="37" t="s">
        <v>300</v>
      </c>
      <c r="GL9" s="37" t="s">
        <v>301</v>
      </c>
      <c r="GM9" s="37" t="s">
        <v>303</v>
      </c>
      <c r="GN9" s="37" t="s">
        <v>304</v>
      </c>
      <c r="GO9" s="37" t="s">
        <v>305</v>
      </c>
      <c r="GP9" s="37" t="s">
        <v>306</v>
      </c>
      <c r="GQ9" s="37" t="s">
        <v>307</v>
      </c>
      <c r="GR9" s="37" t="s">
        <v>308</v>
      </c>
      <c r="GS9" s="37" t="s">
        <v>310</v>
      </c>
      <c r="GT9" s="37" t="s">
        <v>311</v>
      </c>
      <c r="GU9" s="37" t="s">
        <v>312</v>
      </c>
      <c r="GV9" s="37" t="s">
        <v>313</v>
      </c>
      <c r="GW9" s="37" t="s">
        <v>314</v>
      </c>
      <c r="GX9" s="37" t="s">
        <v>316</v>
      </c>
      <c r="GY9" s="37" t="s">
        <v>317</v>
      </c>
      <c r="GZ9" s="37" t="s">
        <v>318</v>
      </c>
      <c r="HA9" s="37" t="s">
        <v>319</v>
      </c>
      <c r="HB9" s="37" t="s">
        <v>320</v>
      </c>
      <c r="HC9" s="37" t="s">
        <v>322</v>
      </c>
      <c r="HD9" s="37" t="s">
        <v>323</v>
      </c>
      <c r="HE9" s="37" t="s">
        <v>325</v>
      </c>
      <c r="HF9" s="37" t="s">
        <v>326</v>
      </c>
      <c r="HG9" s="37" t="s">
        <v>327</v>
      </c>
      <c r="HH9" s="37" t="s">
        <v>329</v>
      </c>
      <c r="HI9" s="37" t="s">
        <v>330</v>
      </c>
      <c r="HJ9" s="37" t="s">
        <v>331</v>
      </c>
      <c r="HK9" s="37" t="s">
        <v>332</v>
      </c>
      <c r="HL9" s="37" t="s">
        <v>333</v>
      </c>
      <c r="HM9" s="37" t="s">
        <v>334</v>
      </c>
      <c r="HN9" s="37" t="s">
        <v>335</v>
      </c>
      <c r="HO9" s="37" t="s">
        <v>336</v>
      </c>
      <c r="HP9" s="37" t="s">
        <v>337</v>
      </c>
      <c r="HQ9" s="37" t="s">
        <v>338</v>
      </c>
      <c r="HR9" s="37" t="s">
        <v>339</v>
      </c>
      <c r="HS9" s="37" t="s">
        <v>340</v>
      </c>
      <c r="HT9" s="37" t="s">
        <v>341</v>
      </c>
      <c r="HU9" s="37" t="s">
        <v>342</v>
      </c>
      <c r="HV9" s="37" t="s">
        <v>343</v>
      </c>
      <c r="HW9" s="37" t="s">
        <v>344</v>
      </c>
      <c r="HX9" s="37" t="s">
        <v>345</v>
      </c>
      <c r="HY9" s="37" t="s">
        <v>346</v>
      </c>
      <c r="HZ9" s="37" t="s">
        <v>347</v>
      </c>
      <c r="IA9" s="37" t="s">
        <v>348</v>
      </c>
      <c r="IB9" s="37" t="s">
        <v>349</v>
      </c>
      <c r="IC9" s="37" t="s">
        <v>350</v>
      </c>
      <c r="ID9" s="37" t="s">
        <v>351</v>
      </c>
      <c r="IE9" s="37" t="s">
        <v>352</v>
      </c>
      <c r="IF9" s="37" t="s">
        <v>353</v>
      </c>
      <c r="IG9" s="37" t="s">
        <v>354</v>
      </c>
      <c r="IH9" s="37" t="s">
        <v>355</v>
      </c>
      <c r="II9" s="37" t="s">
        <v>356</v>
      </c>
      <c r="IJ9" s="37" t="s">
        <v>357</v>
      </c>
      <c r="IK9" s="37" t="s">
        <v>358</v>
      </c>
      <c r="IL9" s="37" t="s">
        <v>359</v>
      </c>
      <c r="IM9" s="37" t="s">
        <v>360</v>
      </c>
      <c r="IN9" s="37" t="s">
        <v>361</v>
      </c>
      <c r="IO9" s="37" t="s">
        <v>362</v>
      </c>
      <c r="IP9" s="37" t="s">
        <v>363</v>
      </c>
      <c r="IQ9" s="37" t="s">
        <v>364</v>
      </c>
      <c r="IR9" s="37" t="s">
        <v>365</v>
      </c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</row>
    <row r="10" spans="1:495 16051:16052" s="24" customFormat="1">
      <c r="A10" s="22"/>
      <c r="B10" s="22" t="s">
        <v>183</v>
      </c>
      <c r="C10" s="22"/>
      <c r="D10" s="22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</row>
    <row r="11" spans="1:495 16051:16052" s="12" customFormat="1">
      <c r="A11" s="28" t="s">
        <v>239</v>
      </c>
      <c r="B11" s="28" t="s">
        <v>184</v>
      </c>
      <c r="C11" s="28" t="s">
        <v>239</v>
      </c>
      <c r="D11">
        <v>0</v>
      </c>
      <c r="E11" s="40">
        <v>100</v>
      </c>
      <c r="F11" s="40">
        <v>20</v>
      </c>
      <c r="G11" s="40">
        <v>15</v>
      </c>
      <c r="H11" s="40">
        <v>12</v>
      </c>
      <c r="I11" s="40">
        <v>14</v>
      </c>
      <c r="J11" s="40">
        <v>10</v>
      </c>
      <c r="K11" s="40">
        <v>10</v>
      </c>
      <c r="L11" s="40">
        <v>7</v>
      </c>
      <c r="M11" s="40">
        <v>7</v>
      </c>
      <c r="N11" s="40">
        <v>7</v>
      </c>
      <c r="O11" s="40">
        <v>9</v>
      </c>
      <c r="P11" s="40">
        <v>7</v>
      </c>
      <c r="Q11" s="40">
        <v>7</v>
      </c>
      <c r="R11" s="40">
        <v>7</v>
      </c>
      <c r="S11" s="40">
        <v>7</v>
      </c>
      <c r="T11" s="40">
        <v>7.5</v>
      </c>
      <c r="U11" s="40">
        <v>8</v>
      </c>
      <c r="V11" s="40">
        <v>8</v>
      </c>
      <c r="W11" s="40">
        <v>8</v>
      </c>
      <c r="X11" s="40">
        <v>8</v>
      </c>
      <c r="Y11" s="40">
        <v>9</v>
      </c>
      <c r="Z11" s="40">
        <v>9</v>
      </c>
      <c r="AA11" s="40">
        <v>9</v>
      </c>
      <c r="AB11" s="40">
        <v>9.5</v>
      </c>
      <c r="AC11" s="40">
        <v>9</v>
      </c>
      <c r="AD11" s="40">
        <v>9</v>
      </c>
      <c r="AE11" s="40">
        <v>9</v>
      </c>
      <c r="AF11" s="40">
        <v>9</v>
      </c>
      <c r="AG11" s="40">
        <v>9</v>
      </c>
      <c r="AH11" s="40">
        <v>9</v>
      </c>
      <c r="AI11" s="40">
        <v>9.5</v>
      </c>
      <c r="AJ11" s="40">
        <v>9.5</v>
      </c>
      <c r="AK11" s="40">
        <v>9.5</v>
      </c>
      <c r="AL11" s="40">
        <v>9.5</v>
      </c>
      <c r="AM11" s="40">
        <v>9.5</v>
      </c>
      <c r="AN11" s="40">
        <v>9.5</v>
      </c>
      <c r="AO11" s="40">
        <v>13</v>
      </c>
      <c r="AP11" s="40">
        <v>9.5</v>
      </c>
      <c r="AQ11" s="40">
        <v>9.5</v>
      </c>
      <c r="AR11" s="40">
        <v>9.5</v>
      </c>
      <c r="AS11" s="40">
        <v>12</v>
      </c>
      <c r="AT11" s="40">
        <v>12</v>
      </c>
      <c r="AU11" s="40">
        <v>13</v>
      </c>
      <c r="AV11" s="40">
        <v>13</v>
      </c>
      <c r="AW11" s="40">
        <v>13</v>
      </c>
      <c r="AX11" s="40">
        <v>13</v>
      </c>
      <c r="AY11" s="40">
        <v>13</v>
      </c>
      <c r="AZ11" s="40">
        <v>13</v>
      </c>
      <c r="BA11" s="40">
        <v>13</v>
      </c>
      <c r="BB11" s="40">
        <v>8</v>
      </c>
      <c r="BC11" s="40">
        <v>13</v>
      </c>
      <c r="BD11" s="40">
        <v>13</v>
      </c>
      <c r="BE11" s="40">
        <v>13</v>
      </c>
      <c r="BF11" s="40">
        <v>14</v>
      </c>
      <c r="BG11" s="40">
        <v>14</v>
      </c>
      <c r="BH11" s="40">
        <v>15</v>
      </c>
      <c r="BI11" s="40">
        <v>15</v>
      </c>
      <c r="BJ11" s="40">
        <v>15</v>
      </c>
      <c r="BK11" s="40">
        <v>15</v>
      </c>
      <c r="BL11" s="40">
        <v>12</v>
      </c>
      <c r="BM11" s="40">
        <v>10</v>
      </c>
      <c r="BN11" s="40">
        <v>8</v>
      </c>
      <c r="BO11" s="40">
        <v>2</v>
      </c>
      <c r="BP11" s="40">
        <v>8</v>
      </c>
      <c r="BQ11" s="40">
        <v>5</v>
      </c>
      <c r="BR11" s="40">
        <v>3</v>
      </c>
      <c r="BS11" s="40">
        <v>3</v>
      </c>
      <c r="BT11" s="40">
        <v>2</v>
      </c>
      <c r="BU11" s="40">
        <v>2</v>
      </c>
      <c r="BV11" s="40">
        <v>2</v>
      </c>
      <c r="BW11" s="40">
        <v>2</v>
      </c>
      <c r="BX11" s="40">
        <v>2</v>
      </c>
      <c r="BY11" s="40">
        <v>2</v>
      </c>
      <c r="BZ11" s="40">
        <v>2</v>
      </c>
      <c r="CA11" s="40">
        <v>2</v>
      </c>
      <c r="CB11" s="40">
        <v>3</v>
      </c>
      <c r="CC11" s="40">
        <v>2</v>
      </c>
      <c r="CD11" s="40">
        <v>2</v>
      </c>
      <c r="CE11" s="40">
        <v>2</v>
      </c>
      <c r="CF11" s="40">
        <v>2</v>
      </c>
      <c r="CG11" s="40">
        <v>2</v>
      </c>
      <c r="CH11" s="40">
        <v>2</v>
      </c>
      <c r="CI11" s="40">
        <v>2</v>
      </c>
      <c r="CJ11" s="40">
        <v>2</v>
      </c>
      <c r="CK11" s="40">
        <v>2</v>
      </c>
      <c r="CL11" s="40">
        <v>2</v>
      </c>
      <c r="CM11" s="40">
        <v>3</v>
      </c>
      <c r="CN11" s="40">
        <v>3</v>
      </c>
      <c r="CO11" s="40">
        <v>5.25</v>
      </c>
      <c r="CP11" s="40">
        <v>3</v>
      </c>
      <c r="CQ11" s="40">
        <v>3</v>
      </c>
      <c r="CR11" s="40">
        <v>5</v>
      </c>
      <c r="CS11" s="40">
        <v>5</v>
      </c>
      <c r="CT11" s="40">
        <v>5</v>
      </c>
      <c r="CU11" s="40">
        <v>5.25</v>
      </c>
      <c r="CV11" s="40">
        <v>5.25</v>
      </c>
      <c r="CW11" s="40">
        <v>5.25</v>
      </c>
      <c r="CX11" s="40">
        <v>5.25</v>
      </c>
      <c r="CY11" s="40">
        <v>5.25</v>
      </c>
      <c r="CZ11" s="40">
        <v>5.25</v>
      </c>
      <c r="DA11" s="40">
        <v>5.25</v>
      </c>
      <c r="DB11" s="40">
        <v>5</v>
      </c>
      <c r="DC11" s="40">
        <v>5.25</v>
      </c>
      <c r="DD11" s="40">
        <v>5.25</v>
      </c>
      <c r="DE11" s="40">
        <v>5.25</v>
      </c>
      <c r="DF11" s="40">
        <v>5.25</v>
      </c>
      <c r="DG11" s="40">
        <v>5.25</v>
      </c>
      <c r="DH11" s="40">
        <v>5.25</v>
      </c>
      <c r="DI11" s="40">
        <v>5.25</v>
      </c>
      <c r="DJ11" s="40">
        <v>5.25</v>
      </c>
      <c r="DK11" s="40">
        <v>5.25</v>
      </c>
      <c r="DL11" s="40">
        <v>5.25</v>
      </c>
      <c r="DM11" s="40">
        <v>5.25</v>
      </c>
      <c r="DN11" s="40">
        <v>5</v>
      </c>
      <c r="DO11" s="40">
        <v>5</v>
      </c>
      <c r="DP11" s="40">
        <v>4.75</v>
      </c>
      <c r="DQ11" s="40">
        <v>4.75</v>
      </c>
      <c r="DR11" s="40">
        <v>4.75</v>
      </c>
      <c r="DS11" s="40">
        <v>4.75</v>
      </c>
      <c r="DT11" s="40">
        <v>4.75</v>
      </c>
      <c r="DU11" s="40">
        <v>4.75</v>
      </c>
      <c r="DV11" s="40">
        <v>4.75</v>
      </c>
      <c r="DW11" s="40">
        <v>4.75</v>
      </c>
      <c r="DX11" s="40">
        <v>4.75</v>
      </c>
      <c r="DY11" s="40">
        <v>4.75</v>
      </c>
      <c r="DZ11" s="39">
        <v>4.75</v>
      </c>
      <c r="EA11" s="39">
        <v>4.75</v>
      </c>
      <c r="EB11" s="39">
        <v>4.75</v>
      </c>
      <c r="EC11" s="39">
        <v>4.75</v>
      </c>
      <c r="ED11" s="39">
        <v>4.75</v>
      </c>
      <c r="EE11" s="39">
        <v>4.25</v>
      </c>
      <c r="EF11" s="39">
        <v>4.25</v>
      </c>
      <c r="EG11" s="39">
        <v>4.25</v>
      </c>
      <c r="EH11" s="40">
        <v>3.5</v>
      </c>
      <c r="EI11" s="40">
        <v>3.5</v>
      </c>
      <c r="EJ11" s="40">
        <v>3.5</v>
      </c>
      <c r="EK11" s="40">
        <v>3.5</v>
      </c>
      <c r="EL11" s="40">
        <v>3.5</v>
      </c>
      <c r="EM11" s="40">
        <v>3.5</v>
      </c>
      <c r="EN11" s="40">
        <v>3.5</v>
      </c>
      <c r="EO11" s="40">
        <v>3.5</v>
      </c>
      <c r="EP11" s="40">
        <v>3.5</v>
      </c>
      <c r="EQ11" s="40">
        <v>3.5</v>
      </c>
      <c r="ER11" s="40">
        <v>3.5</v>
      </c>
      <c r="ES11" s="39">
        <v>3</v>
      </c>
      <c r="ET11" s="39">
        <v>3</v>
      </c>
      <c r="EU11" s="39">
        <v>3</v>
      </c>
      <c r="EV11" s="39">
        <v>3</v>
      </c>
      <c r="EW11" s="39">
        <v>3</v>
      </c>
      <c r="EX11" s="39">
        <v>3</v>
      </c>
      <c r="EY11" s="39">
        <v>3</v>
      </c>
      <c r="EZ11" s="39">
        <v>5</v>
      </c>
      <c r="FA11" s="39">
        <v>7</v>
      </c>
      <c r="FB11" s="39">
        <v>7</v>
      </c>
      <c r="FC11" s="39">
        <v>7</v>
      </c>
      <c r="FD11" s="39">
        <v>7</v>
      </c>
      <c r="FE11" s="39">
        <v>7</v>
      </c>
      <c r="FF11" s="40">
        <v>9.5</v>
      </c>
      <c r="FG11" s="39">
        <v>15</v>
      </c>
      <c r="FH11" s="39">
        <v>15</v>
      </c>
      <c r="FI11" s="39">
        <v>15</v>
      </c>
      <c r="FJ11" s="39">
        <v>15</v>
      </c>
      <c r="FK11" s="39">
        <v>15</v>
      </c>
      <c r="FL11" s="39">
        <v>15</v>
      </c>
      <c r="FM11" s="39">
        <v>15</v>
      </c>
      <c r="FN11" s="39">
        <v>15</v>
      </c>
      <c r="FO11" s="39">
        <v>15</v>
      </c>
      <c r="FP11" s="39">
        <v>15</v>
      </c>
      <c r="FQ11" s="39">
        <v>15</v>
      </c>
      <c r="FR11" s="39">
        <v>15</v>
      </c>
      <c r="FS11" s="39">
        <v>15</v>
      </c>
      <c r="FT11" s="39">
        <v>15</v>
      </c>
      <c r="FU11" s="39">
        <v>15</v>
      </c>
      <c r="FV11" s="39">
        <v>15</v>
      </c>
      <c r="FW11" s="39">
        <v>15</v>
      </c>
      <c r="FX11" s="39">
        <v>13</v>
      </c>
      <c r="FY11" s="39">
        <v>13</v>
      </c>
      <c r="FZ11" s="39">
        <v>11</v>
      </c>
      <c r="GA11" s="39">
        <v>11</v>
      </c>
      <c r="GB11" s="39">
        <v>10</v>
      </c>
      <c r="GC11" s="39">
        <v>10</v>
      </c>
      <c r="GD11" s="39">
        <v>10</v>
      </c>
      <c r="GE11" s="39">
        <v>10</v>
      </c>
      <c r="GF11" s="39">
        <v>9.75</v>
      </c>
      <c r="GG11" s="39">
        <v>9.75</v>
      </c>
      <c r="GH11" s="39">
        <v>9.75</v>
      </c>
      <c r="GI11" s="39">
        <v>9.75</v>
      </c>
      <c r="GJ11" s="39">
        <v>9.75</v>
      </c>
      <c r="GK11" s="39">
        <v>9.25</v>
      </c>
      <c r="GL11" s="39" t="s">
        <v>302</v>
      </c>
      <c r="GM11" s="39">
        <v>8.75</v>
      </c>
      <c r="GN11" s="39">
        <v>8.75</v>
      </c>
      <c r="GO11" s="39">
        <v>8.5</v>
      </c>
      <c r="GP11" s="39">
        <v>8.25</v>
      </c>
      <c r="GQ11" s="39">
        <v>8.25</v>
      </c>
      <c r="GR11" s="39" t="s">
        <v>309</v>
      </c>
      <c r="GS11" s="39">
        <v>7.75</v>
      </c>
      <c r="GT11" s="39">
        <v>7.75</v>
      </c>
      <c r="GU11" s="39">
        <v>7.5</v>
      </c>
      <c r="GV11" s="39">
        <v>7.25</v>
      </c>
      <c r="GW11" s="39">
        <v>7.25</v>
      </c>
      <c r="GX11" s="39" t="s">
        <v>315</v>
      </c>
      <c r="GY11" s="39" t="s">
        <v>315</v>
      </c>
      <c r="GZ11" s="39" t="s">
        <v>315</v>
      </c>
      <c r="HA11" s="54">
        <v>7</v>
      </c>
      <c r="HB11" s="54" t="s">
        <v>321</v>
      </c>
      <c r="HC11" s="54" t="s">
        <v>321</v>
      </c>
      <c r="HD11" s="54" t="s">
        <v>324</v>
      </c>
      <c r="HE11" s="54" t="s">
        <v>324</v>
      </c>
      <c r="HF11" s="54" t="s">
        <v>324</v>
      </c>
      <c r="HG11" s="54" t="s">
        <v>328</v>
      </c>
      <c r="HH11" s="54" t="s">
        <v>328</v>
      </c>
      <c r="HI11" s="54" t="s">
        <v>328</v>
      </c>
      <c r="HJ11" s="54" t="s">
        <v>328</v>
      </c>
      <c r="HK11" s="54">
        <v>6.25</v>
      </c>
      <c r="HL11" s="54">
        <v>6.25</v>
      </c>
      <c r="HM11" s="54">
        <v>6.25</v>
      </c>
      <c r="HN11" s="54">
        <v>6.25</v>
      </c>
      <c r="HO11" s="54">
        <v>6.25</v>
      </c>
      <c r="HP11" s="54">
        <v>6.5</v>
      </c>
      <c r="HQ11" s="54">
        <v>7</v>
      </c>
      <c r="HR11" s="54">
        <v>7</v>
      </c>
      <c r="HS11" s="54">
        <v>7.25</v>
      </c>
      <c r="HT11" s="54">
        <v>7.5</v>
      </c>
      <c r="HU11" s="54">
        <v>7.5</v>
      </c>
      <c r="HV11" s="54">
        <v>7.75</v>
      </c>
      <c r="HW11" s="54">
        <v>7.75</v>
      </c>
      <c r="HX11" s="54">
        <v>7.75</v>
      </c>
      <c r="HY11" s="54">
        <v>7.75</v>
      </c>
      <c r="HZ11" s="54">
        <v>7.75</v>
      </c>
      <c r="IA11" s="54">
        <v>7.75</v>
      </c>
      <c r="IB11" s="54">
        <v>7.75</v>
      </c>
      <c r="IC11" s="54">
        <v>8</v>
      </c>
      <c r="ID11" s="54">
        <v>8</v>
      </c>
      <c r="IE11" s="54">
        <v>8.25</v>
      </c>
      <c r="IF11" s="54">
        <v>8.5</v>
      </c>
      <c r="IG11" s="54">
        <v>8.5</v>
      </c>
      <c r="IH11" s="54">
        <v>8.75</v>
      </c>
      <c r="II11" s="54">
        <v>8.75</v>
      </c>
      <c r="IJ11" s="54">
        <v>9</v>
      </c>
      <c r="IK11" s="54">
        <v>9</v>
      </c>
      <c r="IL11" s="54">
        <v>9</v>
      </c>
      <c r="IM11" s="54">
        <v>9</v>
      </c>
      <c r="IN11" s="54">
        <v>9</v>
      </c>
      <c r="IO11" s="54">
        <v>9</v>
      </c>
      <c r="IP11" s="54">
        <v>8.5</v>
      </c>
      <c r="IQ11" s="54">
        <v>8</v>
      </c>
      <c r="IR11" s="54">
        <v>8</v>
      </c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6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6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6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6"/>
      <c r="QA11" s="26"/>
      <c r="QB11" s="26"/>
      <c r="QC11" s="26"/>
      <c r="QD11" s="26"/>
      <c r="QE11" s="26"/>
      <c r="QF11" s="26"/>
      <c r="QG11" s="26"/>
      <c r="QH11" s="26"/>
      <c r="QI11" s="26"/>
      <c r="QJ11" s="26"/>
      <c r="QK11" s="26"/>
      <c r="QL11" s="26"/>
      <c r="QM11" s="26"/>
      <c r="QN11" s="26"/>
      <c r="QO11" s="26"/>
      <c r="QP11" s="26"/>
      <c r="QQ11" s="26"/>
      <c r="QR11" s="26"/>
      <c r="QS11" s="26"/>
      <c r="QT11" s="26"/>
      <c r="QU11" s="26"/>
      <c r="QV11" s="26"/>
      <c r="QW11" s="26"/>
      <c r="QX11" s="26"/>
      <c r="QY11" s="26"/>
      <c r="QZ11" s="26"/>
      <c r="RA11" s="26"/>
      <c r="RB11" s="26"/>
      <c r="RC11" s="26"/>
      <c r="RD11" s="26"/>
      <c r="RE11" s="26"/>
      <c r="RF11" s="26"/>
      <c r="RG11" s="26"/>
      <c r="RH11" s="26"/>
      <c r="RI11" s="26"/>
      <c r="RJ11" s="26"/>
      <c r="RK11" s="26"/>
      <c r="RL11" s="26"/>
      <c r="RM11" s="26"/>
      <c r="RN11" s="26"/>
      <c r="RO11" s="26"/>
      <c r="RP11" s="26"/>
      <c r="RQ11" s="26"/>
      <c r="RR11" s="26"/>
      <c r="RS11" s="26"/>
      <c r="RT11" s="26"/>
      <c r="RU11" s="26"/>
      <c r="RV11" s="26"/>
      <c r="RW11" s="26"/>
      <c r="RX11" s="26"/>
    </row>
    <row r="12" spans="1:495 16051:16052" s="12" customFormat="1">
      <c r="A12" s="28"/>
      <c r="B12" s="28"/>
      <c r="C12" s="28"/>
      <c r="D12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</row>
    <row r="13" spans="1:495 16051:16052">
      <c r="B13" s="25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</row>
    <row r="14" spans="1:495 16051:16052">
      <c r="B14" s="27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</row>
    <row r="15" spans="1:495 16051:16052">
      <c r="B15" s="25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</row>
    <row r="16" spans="1:495 16051:16052">
      <c r="B16" s="27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</row>
    <row r="17" spans="2:252">
      <c r="B17" s="25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</row>
    <row r="18" spans="2:252">
      <c r="B18" s="27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</row>
    <row r="19" spans="2:252">
      <c r="B19" s="27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</row>
    <row r="20" spans="2:252">
      <c r="B20" s="27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</row>
    <row r="21" spans="2:252">
      <c r="B21" s="27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</row>
    <row r="22" spans="2:252">
      <c r="B22" s="27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</row>
    <row r="23" spans="2:252">
      <c r="B23" s="27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</row>
    <row r="24" spans="2:252">
      <c r="B24" s="27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</row>
    <row r="25" spans="2:252">
      <c r="B25" s="27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S25" s="41"/>
      <c r="HT25" s="41"/>
      <c r="HU25" s="41"/>
      <c r="HV25" s="41"/>
      <c r="HW25" s="41"/>
      <c r="HX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</row>
    <row r="26" spans="2:252">
      <c r="B26" s="27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</row>
    <row r="27" spans="2:252">
      <c r="B27" s="2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</row>
    <row r="28" spans="2:252">
      <c r="B28" s="27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</row>
    <row r="29" spans="2:252">
      <c r="B29" s="27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</row>
    <row r="30" spans="2:252">
      <c r="B30" s="27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</row>
    <row r="31" spans="2:252"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</row>
  </sheetData>
  <dataValidations disablePrompts="1" count="1">
    <dataValidation type="list" allowBlank="1" showInputMessage="1" showErrorMessage="1" sqref="B6" xr:uid="{00000000-0002-0000-0000-000000000000}">
      <formula1>$WSI$3:$WSI$5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QU44"/>
  <sheetViews>
    <sheetView workbookViewId="0">
      <pane xSplit="3" ySplit="10" topLeftCell="HT11" activePane="bottomRight" state="frozen"/>
      <selection pane="topRight" activeCell="E1" sqref="E1"/>
      <selection pane="bottomLeft" activeCell="A10" sqref="A10"/>
      <selection pane="bottomRight" activeCell="IF21" sqref="IF21"/>
    </sheetView>
  </sheetViews>
  <sheetFormatPr baseColWidth="10" defaultColWidth="8.83203125" defaultRowHeight="15"/>
  <cols>
    <col min="1" max="1" width="25" style="12" customWidth="1"/>
    <col min="2" max="2" width="59.33203125" style="12" bestFit="1" customWidth="1"/>
    <col min="3" max="3" width="23.6640625" style="12" customWidth="1"/>
    <col min="4" max="183" width="7.6640625" style="49" bestFit="1" customWidth="1"/>
    <col min="184" max="188" width="8.5" style="49" bestFit="1" customWidth="1"/>
    <col min="189" max="235" width="8.5" style="12" bestFit="1" customWidth="1"/>
    <col min="236" max="451" width="7.6640625" style="12" bestFit="1" customWidth="1"/>
    <col min="452" max="16009" width="9.1640625" style="12"/>
    <col min="16010" max="16010" width="2.6640625" style="12" bestFit="1" customWidth="1"/>
    <col min="16011" max="16011" width="2" style="12" bestFit="1" customWidth="1"/>
    <col min="16012" max="16339" width="9.1640625" style="12"/>
    <col min="16340" max="16384" width="9.1640625" style="12" customWidth="1"/>
  </cols>
  <sheetData>
    <row r="1" spans="1:451 16010:16011" s="1" customFormat="1">
      <c r="A1" s="2" t="s">
        <v>57</v>
      </c>
      <c r="B1" s="15" t="s">
        <v>58</v>
      </c>
      <c r="C1" s="3" t="s">
        <v>59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WQT1" s="4"/>
      <c r="WQU1" s="4"/>
    </row>
    <row r="2" spans="1:451 16010:16011" s="1" customFormat="1">
      <c r="A2" s="2" t="s">
        <v>60</v>
      </c>
      <c r="B2" s="16" t="s">
        <v>61</v>
      </c>
      <c r="C2" s="3" t="s">
        <v>62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WQT2" s="4"/>
      <c r="WQU2" s="4"/>
    </row>
    <row r="3" spans="1:451 16010:16011" s="1" customFormat="1">
      <c r="A3" s="2" t="s">
        <v>0</v>
      </c>
      <c r="B3" s="17" t="s">
        <v>42</v>
      </c>
      <c r="C3" s="3" t="s">
        <v>15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WQT3" s="4" t="s">
        <v>10</v>
      </c>
      <c r="WQU3" s="4">
        <v>0</v>
      </c>
    </row>
    <row r="4" spans="1:451 16010:16011" s="1" customFormat="1">
      <c r="A4" s="2" t="s">
        <v>1</v>
      </c>
      <c r="B4" s="16" t="s">
        <v>182</v>
      </c>
      <c r="C4" s="3" t="s">
        <v>12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WQT4" s="4" t="s">
        <v>9</v>
      </c>
      <c r="WQU4" s="4">
        <v>3</v>
      </c>
    </row>
    <row r="5" spans="1:451 16010:16011" s="1" customFormat="1" ht="16" thickBot="1">
      <c r="A5" s="2" t="s">
        <v>2</v>
      </c>
      <c r="B5" s="17" t="s">
        <v>41</v>
      </c>
      <c r="C5" s="3" t="s">
        <v>13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WQT5" s="4" t="s">
        <v>4</v>
      </c>
      <c r="WQU5" s="4">
        <v>6</v>
      </c>
    </row>
    <row r="6" spans="1:451 16010:16011" s="1" customFormat="1">
      <c r="A6" s="5" t="s">
        <v>5</v>
      </c>
      <c r="B6" s="15">
        <v>0</v>
      </c>
      <c r="C6" s="6" t="str">
        <f>"Scale = "&amp;IF(B6=0,"Unit",(IF(B6=3,"Thousand",(IF(B6=6,"Million",(IF(B6=9,"Billion")))))))</f>
        <v>Scale = Unit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WQT6" s="4"/>
      <c r="WQU6" s="4">
        <v>9</v>
      </c>
    </row>
    <row r="7" spans="1:451 16010:16011" s="1" customFormat="1">
      <c r="A7" s="2" t="s">
        <v>3</v>
      </c>
      <c r="B7" s="17" t="s">
        <v>10</v>
      </c>
      <c r="C7" s="3" t="str">
        <f>"Frequency = "&amp;IF(B7="A","Annual",IF(B7="Q", "Quarterly", "Monthly"))</f>
        <v>Frequency = Monthly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</row>
    <row r="8" spans="1:451 16010:16011" s="1" customFormat="1" ht="17" thickBot="1">
      <c r="A8" s="7" t="s">
        <v>11</v>
      </c>
      <c r="B8" s="18" t="s">
        <v>298</v>
      </c>
      <c r="C8" s="8" t="s">
        <v>14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</row>
    <row r="9" spans="1:451 16010:16011" s="1" customFormat="1" ht="16" thickBot="1">
      <c r="A9" s="9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</row>
    <row r="10" spans="1:451 16010:16011" ht="16" thickBot="1">
      <c r="A10" s="10" t="s">
        <v>8</v>
      </c>
      <c r="B10" s="11" t="s">
        <v>7</v>
      </c>
      <c r="C10" s="11" t="s">
        <v>6</v>
      </c>
      <c r="D10" s="37">
        <v>2003</v>
      </c>
      <c r="E10" s="37">
        <v>2004</v>
      </c>
      <c r="F10" s="37" t="s">
        <v>185</v>
      </c>
      <c r="G10" s="37" t="s">
        <v>186</v>
      </c>
      <c r="H10" s="37" t="s">
        <v>187</v>
      </c>
      <c r="I10" s="37" t="s">
        <v>188</v>
      </c>
      <c r="J10" s="37" t="s">
        <v>189</v>
      </c>
      <c r="K10" s="37" t="s">
        <v>190</v>
      </c>
      <c r="L10" s="37" t="s">
        <v>191</v>
      </c>
      <c r="M10" s="37" t="s">
        <v>192</v>
      </c>
      <c r="N10" s="37" t="s">
        <v>193</v>
      </c>
      <c r="O10" s="37" t="s">
        <v>194</v>
      </c>
      <c r="P10" s="37" t="s">
        <v>195</v>
      </c>
      <c r="Q10" s="37" t="s">
        <v>196</v>
      </c>
      <c r="R10" s="37" t="s">
        <v>64</v>
      </c>
      <c r="S10" s="37" t="s">
        <v>65</v>
      </c>
      <c r="T10" s="37" t="s">
        <v>66</v>
      </c>
      <c r="U10" s="37" t="s">
        <v>67</v>
      </c>
      <c r="V10" s="37" t="s">
        <v>68</v>
      </c>
      <c r="W10" s="37" t="s">
        <v>69</v>
      </c>
      <c r="X10" s="37" t="s">
        <v>70</v>
      </c>
      <c r="Y10" s="37" t="s">
        <v>71</v>
      </c>
      <c r="Z10" s="37" t="s">
        <v>72</v>
      </c>
      <c r="AA10" s="37" t="s">
        <v>73</v>
      </c>
      <c r="AB10" s="37" t="s">
        <v>74</v>
      </c>
      <c r="AC10" s="37" t="s">
        <v>75</v>
      </c>
      <c r="AD10" s="37" t="s">
        <v>76</v>
      </c>
      <c r="AE10" s="37" t="s">
        <v>77</v>
      </c>
      <c r="AF10" s="37" t="s">
        <v>78</v>
      </c>
      <c r="AG10" s="37" t="s">
        <v>79</v>
      </c>
      <c r="AH10" s="37" t="s">
        <v>80</v>
      </c>
      <c r="AI10" s="37" t="s">
        <v>81</v>
      </c>
      <c r="AJ10" s="37" t="s">
        <v>82</v>
      </c>
      <c r="AK10" s="37" t="s">
        <v>83</v>
      </c>
      <c r="AL10" s="37" t="s">
        <v>84</v>
      </c>
      <c r="AM10" s="37" t="s">
        <v>85</v>
      </c>
      <c r="AN10" s="37" t="s">
        <v>86</v>
      </c>
      <c r="AO10" s="37" t="s">
        <v>87</v>
      </c>
      <c r="AP10" s="37" t="s">
        <v>88</v>
      </c>
      <c r="AQ10" s="37" t="s">
        <v>89</v>
      </c>
      <c r="AR10" s="37" t="s">
        <v>90</v>
      </c>
      <c r="AS10" s="37" t="s">
        <v>91</v>
      </c>
      <c r="AT10" s="37" t="s">
        <v>92</v>
      </c>
      <c r="AU10" s="37" t="s">
        <v>93</v>
      </c>
      <c r="AV10" s="37" t="s">
        <v>94</v>
      </c>
      <c r="AW10" s="37" t="s">
        <v>95</v>
      </c>
      <c r="AX10" s="37" t="s">
        <v>96</v>
      </c>
      <c r="AY10" s="37" t="s">
        <v>97</v>
      </c>
      <c r="AZ10" s="37" t="s">
        <v>98</v>
      </c>
      <c r="BA10" s="37" t="s">
        <v>99</v>
      </c>
      <c r="BB10" s="37" t="s">
        <v>100</v>
      </c>
      <c r="BC10" s="37" t="s">
        <v>101</v>
      </c>
      <c r="BD10" s="37" t="s">
        <v>102</v>
      </c>
      <c r="BE10" s="37" t="s">
        <v>103</v>
      </c>
      <c r="BF10" s="37" t="s">
        <v>104</v>
      </c>
      <c r="BG10" s="37" t="s">
        <v>105</v>
      </c>
      <c r="BH10" s="37" t="s">
        <v>106</v>
      </c>
      <c r="BI10" s="37" t="s">
        <v>107</v>
      </c>
      <c r="BJ10" s="37" t="s">
        <v>108</v>
      </c>
      <c r="BK10" s="37" t="s">
        <v>109</v>
      </c>
      <c r="BL10" s="37" t="s">
        <v>110</v>
      </c>
      <c r="BM10" s="37" t="s">
        <v>111</v>
      </c>
      <c r="BN10" s="37" t="s">
        <v>112</v>
      </c>
      <c r="BO10" s="37" t="s">
        <v>113</v>
      </c>
      <c r="BP10" s="37" t="s">
        <v>114</v>
      </c>
      <c r="BQ10" s="37" t="s">
        <v>115</v>
      </c>
      <c r="BR10" s="37" t="s">
        <v>116</v>
      </c>
      <c r="BS10" s="37" t="s">
        <v>117</v>
      </c>
      <c r="BT10" s="37" t="s">
        <v>118</v>
      </c>
      <c r="BU10" s="37" t="s">
        <v>119</v>
      </c>
      <c r="BV10" s="37" t="s">
        <v>120</v>
      </c>
      <c r="BW10" s="37" t="s">
        <v>121</v>
      </c>
      <c r="BX10" s="37" t="s">
        <v>122</v>
      </c>
      <c r="BY10" s="37" t="s">
        <v>123</v>
      </c>
      <c r="BZ10" s="37" t="s">
        <v>124</v>
      </c>
      <c r="CA10" s="37" t="s">
        <v>125</v>
      </c>
      <c r="CB10" s="37" t="s">
        <v>126</v>
      </c>
      <c r="CC10" s="37" t="s">
        <v>127</v>
      </c>
      <c r="CD10" s="37" t="s">
        <v>128</v>
      </c>
      <c r="CE10" s="37" t="s">
        <v>129</v>
      </c>
      <c r="CF10" s="37" t="s">
        <v>130</v>
      </c>
      <c r="CG10" s="37" t="s">
        <v>131</v>
      </c>
      <c r="CH10" s="37" t="s">
        <v>132</v>
      </c>
      <c r="CI10" s="37" t="s">
        <v>133</v>
      </c>
      <c r="CJ10" s="37" t="s">
        <v>134</v>
      </c>
      <c r="CK10" s="37" t="s">
        <v>135</v>
      </c>
      <c r="CL10" s="37" t="s">
        <v>136</v>
      </c>
      <c r="CM10" s="37" t="s">
        <v>137</v>
      </c>
      <c r="CN10" s="37" t="s">
        <v>138</v>
      </c>
      <c r="CO10" s="37" t="s">
        <v>139</v>
      </c>
      <c r="CP10" s="37" t="s">
        <v>140</v>
      </c>
      <c r="CQ10" s="37" t="s">
        <v>141</v>
      </c>
      <c r="CR10" s="37" t="s">
        <v>142</v>
      </c>
      <c r="CS10" s="37" t="s">
        <v>143</v>
      </c>
      <c r="CT10" s="37" t="s">
        <v>144</v>
      </c>
      <c r="CU10" s="37" t="s">
        <v>145</v>
      </c>
      <c r="CV10" s="37" t="s">
        <v>146</v>
      </c>
      <c r="CW10" s="37" t="s">
        <v>147</v>
      </c>
      <c r="CX10" s="37" t="s">
        <v>148</v>
      </c>
      <c r="CY10" s="37" t="s">
        <v>149</v>
      </c>
      <c r="CZ10" s="37" t="s">
        <v>150</v>
      </c>
      <c r="DA10" s="37" t="s">
        <v>151</v>
      </c>
      <c r="DB10" s="37" t="s">
        <v>152</v>
      </c>
      <c r="DC10" s="37" t="s">
        <v>153</v>
      </c>
      <c r="DD10" s="37" t="s">
        <v>154</v>
      </c>
      <c r="DE10" s="37" t="s">
        <v>155</v>
      </c>
      <c r="DF10" s="37" t="s">
        <v>156</v>
      </c>
      <c r="DG10" s="37" t="s">
        <v>157</v>
      </c>
      <c r="DH10" s="37" t="s">
        <v>158</v>
      </c>
      <c r="DI10" s="37" t="s">
        <v>159</v>
      </c>
      <c r="DJ10" s="37" t="s">
        <v>16</v>
      </c>
      <c r="DK10" s="37" t="s">
        <v>19</v>
      </c>
      <c r="DL10" s="37" t="s">
        <v>39</v>
      </c>
      <c r="DM10" s="37" t="s">
        <v>37</v>
      </c>
      <c r="DN10" s="37" t="s">
        <v>35</v>
      </c>
      <c r="DO10" s="37" t="s">
        <v>33</v>
      </c>
      <c r="DP10" s="37" t="s">
        <v>31</v>
      </c>
      <c r="DQ10" s="37" t="s">
        <v>29</v>
      </c>
      <c r="DR10" s="37" t="s">
        <v>27</v>
      </c>
      <c r="DS10" s="37" t="s">
        <v>23</v>
      </c>
      <c r="DT10" s="37" t="s">
        <v>21</v>
      </c>
      <c r="DU10" s="37" t="s">
        <v>25</v>
      </c>
      <c r="DV10" s="37" t="s">
        <v>17</v>
      </c>
      <c r="DW10" s="37" t="s">
        <v>20</v>
      </c>
      <c r="DX10" s="37" t="s">
        <v>40</v>
      </c>
      <c r="DY10" s="37" t="s">
        <v>38</v>
      </c>
      <c r="DZ10" s="37" t="s">
        <v>36</v>
      </c>
      <c r="EA10" s="37" t="s">
        <v>34</v>
      </c>
      <c r="EB10" s="37" t="s">
        <v>32</v>
      </c>
      <c r="EC10" s="37" t="s">
        <v>30</v>
      </c>
      <c r="ED10" s="37" t="s">
        <v>28</v>
      </c>
      <c r="EE10" s="37" t="s">
        <v>24</v>
      </c>
      <c r="EF10" s="37" t="s">
        <v>22</v>
      </c>
      <c r="EG10" s="37" t="s">
        <v>26</v>
      </c>
      <c r="EH10" s="37" t="s">
        <v>18</v>
      </c>
      <c r="EI10" s="37" t="s">
        <v>43</v>
      </c>
      <c r="EJ10" s="37" t="s">
        <v>44</v>
      </c>
      <c r="EK10" s="37" t="s">
        <v>45</v>
      </c>
      <c r="EL10" s="37" t="s">
        <v>46</v>
      </c>
      <c r="EM10" s="37" t="s">
        <v>47</v>
      </c>
      <c r="EN10" s="37" t="s">
        <v>48</v>
      </c>
      <c r="EO10" s="37" t="s">
        <v>49</v>
      </c>
      <c r="EP10" s="37" t="s">
        <v>50</v>
      </c>
      <c r="EQ10" s="37" t="s">
        <v>51</v>
      </c>
      <c r="ER10" s="37" t="s">
        <v>52</v>
      </c>
      <c r="ES10" s="37" t="s">
        <v>53</v>
      </c>
      <c r="ET10" s="37" t="s">
        <v>54</v>
      </c>
      <c r="EU10" s="37" t="s">
        <v>55</v>
      </c>
      <c r="EV10" s="37" t="s">
        <v>56</v>
      </c>
      <c r="EW10" s="37" t="s">
        <v>160</v>
      </c>
      <c r="EX10" s="37" t="s">
        <v>161</v>
      </c>
      <c r="EY10" s="37" t="s">
        <v>162</v>
      </c>
      <c r="EZ10" s="37" t="s">
        <v>163</v>
      </c>
      <c r="FA10" s="37" t="s">
        <v>164</v>
      </c>
      <c r="FB10" s="37" t="s">
        <v>165</v>
      </c>
      <c r="FC10" s="37" t="s">
        <v>166</v>
      </c>
      <c r="FD10" s="37" t="s">
        <v>167</v>
      </c>
      <c r="FE10" s="37" t="s">
        <v>168</v>
      </c>
      <c r="FF10" s="37" t="s">
        <v>169</v>
      </c>
      <c r="FG10" s="37" t="s">
        <v>170</v>
      </c>
      <c r="FH10" s="37" t="s">
        <v>171</v>
      </c>
      <c r="FI10" s="37" t="s">
        <v>172</v>
      </c>
      <c r="FJ10" s="37" t="s">
        <v>173</v>
      </c>
      <c r="FK10" s="37" t="s">
        <v>174</v>
      </c>
      <c r="FL10" s="37" t="s">
        <v>175</v>
      </c>
      <c r="FM10" s="37" t="s">
        <v>176</v>
      </c>
      <c r="FN10" s="37" t="s">
        <v>177</v>
      </c>
      <c r="FO10" s="37" t="s">
        <v>178</v>
      </c>
      <c r="FP10" s="37" t="s">
        <v>179</v>
      </c>
      <c r="FQ10" s="37" t="s">
        <v>180</v>
      </c>
      <c r="FR10" s="37" t="s">
        <v>299</v>
      </c>
      <c r="FS10" s="37" t="s">
        <v>300</v>
      </c>
      <c r="FT10" s="37" t="s">
        <v>301</v>
      </c>
      <c r="FU10" s="37" t="s">
        <v>303</v>
      </c>
      <c r="FV10" s="37" t="s">
        <v>304</v>
      </c>
      <c r="FW10" s="37" t="s">
        <v>305</v>
      </c>
      <c r="FX10" s="37" t="s">
        <v>306</v>
      </c>
      <c r="FY10" s="37" t="s">
        <v>307</v>
      </c>
      <c r="FZ10" s="37" t="s">
        <v>308</v>
      </c>
      <c r="GA10" s="37" t="s">
        <v>310</v>
      </c>
      <c r="GB10" s="37" t="s">
        <v>311</v>
      </c>
      <c r="GC10" s="37" t="s">
        <v>312</v>
      </c>
      <c r="GD10" s="37" t="s">
        <v>313</v>
      </c>
      <c r="GE10" s="37" t="s">
        <v>314</v>
      </c>
      <c r="GF10" s="37" t="s">
        <v>316</v>
      </c>
      <c r="GG10" s="13" t="s">
        <v>317</v>
      </c>
      <c r="GH10" s="13" t="s">
        <v>318</v>
      </c>
      <c r="GI10" s="13" t="s">
        <v>319</v>
      </c>
      <c r="GJ10" s="13" t="s">
        <v>320</v>
      </c>
      <c r="GK10" s="13" t="s">
        <v>322</v>
      </c>
      <c r="GL10" s="13" t="s">
        <v>323</v>
      </c>
      <c r="GM10" s="13" t="s">
        <v>325</v>
      </c>
      <c r="GN10" s="13" t="s">
        <v>326</v>
      </c>
      <c r="GO10" s="13" t="s">
        <v>327</v>
      </c>
      <c r="GP10" s="13" t="s">
        <v>329</v>
      </c>
      <c r="GQ10" s="13" t="s">
        <v>330</v>
      </c>
      <c r="GR10" s="13" t="s">
        <v>331</v>
      </c>
      <c r="GS10" s="13" t="s">
        <v>332</v>
      </c>
      <c r="GT10" s="13" t="s">
        <v>333</v>
      </c>
      <c r="GU10" s="13" t="s">
        <v>334</v>
      </c>
      <c r="GV10" s="13" t="s">
        <v>335</v>
      </c>
      <c r="GW10" s="13" t="s">
        <v>336</v>
      </c>
      <c r="GX10" s="13" t="s">
        <v>337</v>
      </c>
      <c r="GY10" s="13" t="s">
        <v>337</v>
      </c>
      <c r="GZ10" s="13" t="s">
        <v>338</v>
      </c>
      <c r="HA10" s="13" t="s">
        <v>339</v>
      </c>
      <c r="HB10" s="13" t="s">
        <v>340</v>
      </c>
      <c r="HC10" s="13" t="s">
        <v>341</v>
      </c>
      <c r="HD10" s="13" t="s">
        <v>342</v>
      </c>
      <c r="HE10" s="13" t="s">
        <v>343</v>
      </c>
      <c r="HF10" s="13" t="s">
        <v>344</v>
      </c>
      <c r="HG10" s="13" t="s">
        <v>345</v>
      </c>
      <c r="HH10" s="13" t="s">
        <v>346</v>
      </c>
      <c r="HI10" s="13" t="s">
        <v>347</v>
      </c>
      <c r="HJ10" s="13" t="s">
        <v>348</v>
      </c>
      <c r="HK10" s="13" t="s">
        <v>349</v>
      </c>
      <c r="HL10" s="13" t="s">
        <v>350</v>
      </c>
      <c r="HM10" s="13" t="s">
        <v>351</v>
      </c>
      <c r="HN10" s="13" t="s">
        <v>352</v>
      </c>
      <c r="HO10" s="13" t="s">
        <v>353</v>
      </c>
      <c r="HP10" s="13" t="s">
        <v>354</v>
      </c>
      <c r="HQ10" s="13" t="s">
        <v>355</v>
      </c>
      <c r="HR10" s="13" t="s">
        <v>356</v>
      </c>
      <c r="HS10" s="13" t="s">
        <v>357</v>
      </c>
      <c r="HT10" s="13" t="s">
        <v>358</v>
      </c>
      <c r="HU10" s="13" t="s">
        <v>359</v>
      </c>
      <c r="HV10" s="13" t="s">
        <v>360</v>
      </c>
      <c r="HW10" s="13" t="s">
        <v>361</v>
      </c>
      <c r="HX10" s="13" t="s">
        <v>362</v>
      </c>
      <c r="HY10" s="13" t="s">
        <v>363</v>
      </c>
      <c r="HZ10" s="13" t="s">
        <v>364</v>
      </c>
      <c r="IA10" s="13" t="s">
        <v>365</v>
      </c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</row>
    <row r="11" spans="1:451 16010:16011" s="22" customFormat="1" ht="16.5" customHeight="1">
      <c r="A11" s="31" t="s">
        <v>63</v>
      </c>
      <c r="B11" s="32" t="s">
        <v>240</v>
      </c>
      <c r="C11" s="23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</row>
    <row r="12" spans="1:451 16010:16011">
      <c r="A12" s="20" t="s">
        <v>63</v>
      </c>
      <c r="B12" s="21" t="s">
        <v>198</v>
      </c>
      <c r="C12" s="14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46"/>
      <c r="EB12" s="46"/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</row>
    <row r="13" spans="1:451 16010:16011">
      <c r="A13" s="20" t="s">
        <v>242</v>
      </c>
      <c r="B13" s="33" t="s">
        <v>200</v>
      </c>
      <c r="C13" s="20" t="s">
        <v>242</v>
      </c>
      <c r="D13" s="53">
        <v>6.5</v>
      </c>
      <c r="E13" s="46">
        <v>6.93</v>
      </c>
      <c r="F13" s="46">
        <v>7.37</v>
      </c>
      <c r="G13" s="46">
        <v>7.23</v>
      </c>
      <c r="H13" s="46">
        <v>6.9</v>
      </c>
      <c r="I13" s="46">
        <v>7.31</v>
      </c>
      <c r="J13" s="46">
        <v>7.54</v>
      </c>
      <c r="K13" s="46">
        <v>7.52</v>
      </c>
      <c r="L13" s="46">
        <v>8.0299999999999994</v>
      </c>
      <c r="M13" s="46">
        <v>8.1</v>
      </c>
      <c r="N13" s="46">
        <v>8.0614219334928929</v>
      </c>
      <c r="O13" s="46">
        <v>8.1609564876884537</v>
      </c>
      <c r="P13" s="46">
        <v>8.4148178394843711</v>
      </c>
      <c r="Q13" s="46">
        <v>8.918581315234313</v>
      </c>
      <c r="R13" s="46">
        <v>8.8516109446285949</v>
      </c>
      <c r="S13" s="46">
        <v>9.4880483052747824</v>
      </c>
      <c r="T13" s="46">
        <v>10.506228710036384</v>
      </c>
      <c r="U13" s="46">
        <v>10.978901970427007</v>
      </c>
      <c r="V13" s="46">
        <v>10.89</v>
      </c>
      <c r="W13" s="46">
        <v>10.956563254378409</v>
      </c>
      <c r="X13" s="46">
        <v>10.857274328192288</v>
      </c>
      <c r="Y13" s="46">
        <v>11.02721339764839</v>
      </c>
      <c r="Z13" s="46">
        <v>10.7167799559739</v>
      </c>
      <c r="AA13" s="46">
        <v>10.460332231923816</v>
      </c>
      <c r="AB13" s="46">
        <v>10.468600119025336</v>
      </c>
      <c r="AC13" s="46">
        <v>10.39</v>
      </c>
      <c r="AD13" s="46">
        <v>10.41</v>
      </c>
      <c r="AE13" s="46">
        <v>10.45</v>
      </c>
      <c r="AF13" s="46">
        <v>10.59</v>
      </c>
      <c r="AG13" s="46">
        <v>10.92</v>
      </c>
      <c r="AH13" s="46">
        <v>10.84592396368704</v>
      </c>
      <c r="AI13" s="46">
        <v>11.203611216884898</v>
      </c>
      <c r="AJ13" s="46">
        <v>11.307480867067005</v>
      </c>
      <c r="AK13" s="46">
        <v>11.27501998174921</v>
      </c>
      <c r="AL13" s="46">
        <v>11.002403128870975</v>
      </c>
      <c r="AM13" s="46">
        <v>11.218828598850028</v>
      </c>
      <c r="AN13" s="46">
        <v>11.587096953871432</v>
      </c>
      <c r="AO13" s="46">
        <v>11.35565519022407</v>
      </c>
      <c r="AP13" s="46">
        <v>11.392882123181254</v>
      </c>
      <c r="AQ13" s="46">
        <v>11.273999478090209</v>
      </c>
      <c r="AR13" s="46">
        <v>11.510543630316047</v>
      </c>
      <c r="AS13" s="46">
        <v>11.603299191621778</v>
      </c>
      <c r="AT13" s="46">
        <v>11.690645823084221</v>
      </c>
      <c r="AU13" s="46">
        <v>12.084130701936411</v>
      </c>
      <c r="AV13" s="46">
        <v>11.967396631858911</v>
      </c>
      <c r="AW13" s="46">
        <v>12.019499788979722</v>
      </c>
      <c r="AX13" s="46">
        <v>12.311538100424931</v>
      </c>
      <c r="AY13" s="46">
        <v>11.880130156462105</v>
      </c>
      <c r="AZ13" s="46">
        <v>11.87244843640082</v>
      </c>
      <c r="BA13" s="46">
        <v>11.605823492323422</v>
      </c>
      <c r="BB13" s="46">
        <v>11.573550866288937</v>
      </c>
      <c r="BC13" s="46">
        <v>11.346441926756764</v>
      </c>
      <c r="BD13" s="46">
        <v>11.456619095926984</v>
      </c>
      <c r="BE13" s="46">
        <v>11.58728507674166</v>
      </c>
      <c r="BF13" s="46">
        <v>11.278175761435543</v>
      </c>
      <c r="BG13" s="46">
        <v>11.447808438893727</v>
      </c>
      <c r="BH13" s="46">
        <v>11.2737738352271</v>
      </c>
      <c r="BI13" s="46">
        <v>11.610215496933973</v>
      </c>
      <c r="BJ13" s="46">
        <v>11.798945861116858</v>
      </c>
      <c r="BK13" s="46">
        <v>11.90814342430798</v>
      </c>
      <c r="BL13" s="46">
        <v>11.662952694568434</v>
      </c>
      <c r="BM13" s="46">
        <v>11.718484320258268</v>
      </c>
      <c r="BN13" s="46">
        <v>11.2696331873452</v>
      </c>
      <c r="BO13" s="46">
        <v>11.303500632557501</v>
      </c>
      <c r="BP13" s="46">
        <v>11.402791517387307</v>
      </c>
      <c r="BQ13" s="46">
        <v>10.871929544843598</v>
      </c>
      <c r="BR13" s="46">
        <v>11.202513878251331</v>
      </c>
      <c r="BS13" s="46">
        <v>11.814770913664805</v>
      </c>
      <c r="BT13" s="46">
        <v>11.69</v>
      </c>
      <c r="BU13" s="46">
        <v>10.987441836644855</v>
      </c>
      <c r="BV13" s="46">
        <v>11.211484026012926</v>
      </c>
      <c r="BW13" s="46">
        <v>10.977663419795656</v>
      </c>
      <c r="BX13" s="46">
        <v>11.088899582560577</v>
      </c>
      <c r="BY13" s="46">
        <v>11.112817606546072</v>
      </c>
      <c r="BZ13" s="46">
        <v>11.159152084023074</v>
      </c>
      <c r="CA13" s="46">
        <v>11.137222056263454</v>
      </c>
      <c r="CB13" s="46">
        <v>11.075629564827254</v>
      </c>
      <c r="CC13" s="46">
        <v>10.959688991472451</v>
      </c>
      <c r="CD13" s="46">
        <v>10.981540321348685</v>
      </c>
      <c r="CE13" s="46">
        <v>10.652280728578809</v>
      </c>
      <c r="CF13" s="46">
        <v>10.691077237465445</v>
      </c>
      <c r="CG13" s="46">
        <v>10.672588734845309</v>
      </c>
      <c r="CH13" s="46">
        <v>10.781809905282525</v>
      </c>
      <c r="CI13" s="46">
        <v>10.63593959892207</v>
      </c>
      <c r="CJ13" s="46">
        <v>10.649349282308517</v>
      </c>
      <c r="CK13" s="46">
        <v>10.262110538599906</v>
      </c>
      <c r="CL13" s="46">
        <v>10.387458233802105</v>
      </c>
      <c r="CM13" s="46">
        <v>10.214143150820393</v>
      </c>
      <c r="CN13" s="46">
        <v>10.242373193820267</v>
      </c>
      <c r="CO13" s="46">
        <v>10.186161365570532</v>
      </c>
      <c r="CP13" s="46">
        <v>10.31799494944403</v>
      </c>
      <c r="CQ13" s="46">
        <v>10.32828696157139</v>
      </c>
      <c r="CR13" s="46">
        <v>10.359047194517673</v>
      </c>
      <c r="CS13" s="46">
        <v>10.310056038454373</v>
      </c>
      <c r="CT13" s="46">
        <v>10.211301593280011</v>
      </c>
      <c r="CU13" s="46">
        <v>10.080689226712016</v>
      </c>
      <c r="CV13" s="46">
        <v>10.043775294827034</v>
      </c>
      <c r="CW13" s="46">
        <v>9.988228333452696</v>
      </c>
      <c r="CX13" s="46">
        <v>9.8783592570438827</v>
      </c>
      <c r="CY13" s="46">
        <v>9.9454365965648108</v>
      </c>
      <c r="CZ13" s="46">
        <v>9.8398200009807759</v>
      </c>
      <c r="DA13" s="46">
        <v>9.5522884456731969</v>
      </c>
      <c r="DB13" s="46">
        <v>9.4770379899538781</v>
      </c>
      <c r="DC13" s="46">
        <v>9.5713169440795411</v>
      </c>
      <c r="DD13" s="46">
        <v>9.4906812906339724</v>
      </c>
      <c r="DE13" s="46">
        <v>9.4530053274357808</v>
      </c>
      <c r="DF13" s="46">
        <v>9.451891480803539</v>
      </c>
      <c r="DG13" s="46">
        <v>9.4335703984423436</v>
      </c>
      <c r="DH13" s="46">
        <v>9.51416177117577</v>
      </c>
      <c r="DI13" s="46">
        <v>9.42403346165203</v>
      </c>
      <c r="DJ13" s="46">
        <v>9.4150083800694588</v>
      </c>
      <c r="DK13" s="46">
        <v>9.3790537953254471</v>
      </c>
      <c r="DL13" s="46">
        <v>9.3151785851461231</v>
      </c>
      <c r="DM13" s="46">
        <v>9.1579732167241747</v>
      </c>
      <c r="DN13" s="46">
        <v>9.0749943469420131</v>
      </c>
      <c r="DO13" s="46">
        <v>9.0101386347106107</v>
      </c>
      <c r="DP13" s="46">
        <v>8.9833696612956633</v>
      </c>
      <c r="DQ13" s="46">
        <v>8.9167549785090898</v>
      </c>
      <c r="DR13" s="46">
        <v>8.8474160469473162</v>
      </c>
      <c r="DS13" s="46">
        <v>8.7651000631326195</v>
      </c>
      <c r="DT13" s="46">
        <v>8.7774271321552906</v>
      </c>
      <c r="DU13" s="46">
        <v>8.8626682211002397</v>
      </c>
      <c r="DV13" s="46">
        <v>8.82</v>
      </c>
      <c r="DW13" s="46">
        <v>8.9452936423301601</v>
      </c>
      <c r="DX13" s="46">
        <v>8.9899615832638702</v>
      </c>
      <c r="DY13" s="46">
        <v>8.8191348443317104</v>
      </c>
      <c r="DZ13" s="46">
        <v>8.8070994661025761</v>
      </c>
      <c r="EA13" s="46">
        <v>8.8585333001431188</v>
      </c>
      <c r="EB13" s="46">
        <v>8.4085898097751048</v>
      </c>
      <c r="EC13" s="46">
        <v>7.977581710559364</v>
      </c>
      <c r="ED13" s="46">
        <v>8.7251936810852815</v>
      </c>
      <c r="EE13" s="46">
        <v>8.4595472455527592</v>
      </c>
      <c r="EF13" s="46">
        <v>8.3281277335470829</v>
      </c>
      <c r="EG13" s="46">
        <v>8.0846398406764397</v>
      </c>
      <c r="EH13" s="46">
        <v>7.7549340153815249</v>
      </c>
      <c r="EI13" s="46">
        <v>7.8330607922234901</v>
      </c>
      <c r="EJ13" s="46">
        <v>7.8546249983483261</v>
      </c>
      <c r="EK13" s="46">
        <v>7.7679742041894579</v>
      </c>
      <c r="EL13" s="46">
        <v>7.7787056990116357</v>
      </c>
      <c r="EM13" s="46">
        <v>7.8536464776653778</v>
      </c>
      <c r="EN13" s="46">
        <v>7.7131825668223613</v>
      </c>
      <c r="EO13" s="46">
        <v>8.5487458643917282</v>
      </c>
      <c r="EP13" s="46">
        <v>8.7477693921998139</v>
      </c>
      <c r="EQ13" s="46">
        <v>6.3083897763536312</v>
      </c>
      <c r="ER13" s="46">
        <v>6.3565334326834355</v>
      </c>
      <c r="ES13" s="46">
        <v>6.5023868172007351</v>
      </c>
      <c r="ET13" s="46">
        <v>6.1876238617653527</v>
      </c>
      <c r="EU13" s="46">
        <v>6.611174973984328</v>
      </c>
      <c r="EV13" s="46">
        <v>6.8197604419194455</v>
      </c>
      <c r="EW13" s="46">
        <v>7.0041505000506792</v>
      </c>
      <c r="EX13" s="46">
        <v>7.1571022631323356</v>
      </c>
      <c r="EY13" s="46">
        <v>8.2614467653253065</v>
      </c>
      <c r="EZ13" s="46">
        <v>8.8314696368529635</v>
      </c>
      <c r="FA13" s="46">
        <v>9.4914019468435544</v>
      </c>
      <c r="FB13" s="46">
        <v>10.14982090740212</v>
      </c>
      <c r="FC13" s="46">
        <v>10.331563248497115</v>
      </c>
      <c r="FD13" s="46">
        <v>10.296818151290225</v>
      </c>
      <c r="FE13" s="46">
        <v>10.71853110418318</v>
      </c>
      <c r="FF13" s="46">
        <v>10.357154905275253</v>
      </c>
      <c r="FG13" s="46">
        <v>10.100213123439412</v>
      </c>
      <c r="FH13" s="46">
        <v>10.06035634863445</v>
      </c>
      <c r="FI13" s="46">
        <v>10.1448899430314</v>
      </c>
      <c r="FJ13" s="46">
        <v>9.9769953030977856</v>
      </c>
      <c r="FK13" s="46">
        <v>9.8644828350590927</v>
      </c>
      <c r="FL13" s="46">
        <v>9.8472674523363981</v>
      </c>
      <c r="FM13" s="46">
        <v>9.7843249468819966</v>
      </c>
      <c r="FN13" s="46">
        <v>9.7936065599027771</v>
      </c>
      <c r="FO13" s="46">
        <v>9.6203915704741885</v>
      </c>
      <c r="FP13" s="46">
        <v>9.1947543398482416</v>
      </c>
      <c r="FQ13" s="46">
        <v>9.5799474469641979</v>
      </c>
      <c r="FR13" s="46">
        <v>9.48830163381162</v>
      </c>
      <c r="FS13" s="46">
        <v>9.5264052248777542</v>
      </c>
      <c r="FT13" s="46">
        <v>9.345397824461612</v>
      </c>
      <c r="FU13" s="46">
        <v>9.5036178133987939</v>
      </c>
      <c r="FV13" s="46">
        <v>9.7342674109307925</v>
      </c>
      <c r="FW13" s="46">
        <v>9.7087112798567734</v>
      </c>
      <c r="FX13" s="46">
        <v>9.6359951665537125</v>
      </c>
      <c r="FY13" s="46">
        <v>9.5888251950872245</v>
      </c>
      <c r="FZ13" s="46">
        <v>9.5723595964539552</v>
      </c>
      <c r="GA13" s="46">
        <v>9.549460424417445</v>
      </c>
      <c r="GB13" s="46">
        <v>9.3125702580400311</v>
      </c>
      <c r="GC13" s="46">
        <v>9.2660920207277169</v>
      </c>
      <c r="GD13" s="46">
        <v>9.2620098809829976</v>
      </c>
      <c r="GE13" s="46">
        <v>9.0383073516625743</v>
      </c>
      <c r="GF13" s="46">
        <v>8.9462539866547317</v>
      </c>
      <c r="GG13" s="51">
        <v>8.7264129503223575</v>
      </c>
      <c r="GH13" s="51">
        <v>8.5504052055160304</v>
      </c>
      <c r="GI13" s="51">
        <v>8.5895076688119207</v>
      </c>
      <c r="GJ13" s="51">
        <v>8.5736245441109205</v>
      </c>
      <c r="GK13" s="51">
        <v>8.6452766622694597</v>
      </c>
      <c r="GL13" s="51">
        <v>8.4552602819158995</v>
      </c>
      <c r="GM13" s="51">
        <v>8.4248088996577604</v>
      </c>
      <c r="GN13" s="51">
        <v>8.5495751109839198</v>
      </c>
      <c r="GO13" s="56">
        <v>8.6184906431529207</v>
      </c>
      <c r="GP13" s="56">
        <v>8.4464034181733805</v>
      </c>
      <c r="GQ13" s="56">
        <v>8.6243741779423004</v>
      </c>
      <c r="GR13" s="56">
        <v>8.5450535887271997</v>
      </c>
      <c r="GS13" s="56">
        <v>8.5117038352128294</v>
      </c>
      <c r="GT13" s="56">
        <v>8.5187088100419697</v>
      </c>
      <c r="GU13" s="56">
        <v>8.5436559171770696</v>
      </c>
      <c r="GV13" s="56">
        <v>8.51073860438545</v>
      </c>
      <c r="GW13" s="56">
        <v>8.5848079607137802</v>
      </c>
      <c r="GX13" s="56">
        <v>8.5437205114917205</v>
      </c>
      <c r="GY13" s="56">
        <v>8.5437205114917205</v>
      </c>
      <c r="GZ13" s="56">
        <v>8.5796923032208792</v>
      </c>
      <c r="HA13" s="56">
        <v>8.5678685781588495</v>
      </c>
      <c r="HB13" s="56">
        <v>8.5893232726859292</v>
      </c>
      <c r="HC13" s="56">
        <v>8.6211350531620106</v>
      </c>
      <c r="HD13" s="56">
        <v>8.6486856661334794</v>
      </c>
      <c r="HE13" s="56">
        <v>8.7305520484873007</v>
      </c>
      <c r="HF13" s="56">
        <v>8.7212718412205099</v>
      </c>
      <c r="HG13" s="56">
        <v>8.7200656052578598</v>
      </c>
      <c r="HH13" s="56">
        <v>8.6506981191968499</v>
      </c>
      <c r="HI13" s="56">
        <v>8.5239701021015009</v>
      </c>
      <c r="HJ13" s="56">
        <v>8.5387849912153104</v>
      </c>
      <c r="HK13" s="56">
        <v>8.5728338191578501</v>
      </c>
      <c r="HL13" s="56">
        <v>8.5982402267645099</v>
      </c>
      <c r="HM13" s="56">
        <v>8.6212998262010601</v>
      </c>
      <c r="HN13" s="56">
        <v>8.60142290528802</v>
      </c>
      <c r="HO13" s="56">
        <v>8.6147196828586594</v>
      </c>
      <c r="HP13" s="56">
        <v>8.5364588129317696</v>
      </c>
      <c r="HQ13" s="56">
        <v>8.5184915548081204</v>
      </c>
      <c r="HR13" s="56">
        <v>8.5089277384760305</v>
      </c>
      <c r="HS13" s="56">
        <v>8.4471814808264796</v>
      </c>
      <c r="HT13" s="56">
        <v>8.3853959927454493</v>
      </c>
      <c r="HU13" s="56">
        <v>8.3773557442175299</v>
      </c>
      <c r="HV13" s="56">
        <v>8.3563065039579705</v>
      </c>
      <c r="HW13" s="56">
        <v>8.3271786922668003</v>
      </c>
      <c r="HX13" s="56">
        <v>8.2071245279318692</v>
      </c>
      <c r="HY13" s="56">
        <v>8.2200568020037004</v>
      </c>
      <c r="HZ13" s="56">
        <v>8.1919824561087697</v>
      </c>
      <c r="IA13" s="56">
        <v>8.3299004852360898</v>
      </c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</row>
    <row r="14" spans="1:451 16010:16011">
      <c r="A14" s="20" t="s">
        <v>243</v>
      </c>
      <c r="B14" s="33" t="s">
        <v>201</v>
      </c>
      <c r="C14" s="20" t="s">
        <v>243</v>
      </c>
      <c r="D14" s="53">
        <v>5.66</v>
      </c>
      <c r="E14" s="46">
        <v>5.89</v>
      </c>
      <c r="F14" s="46">
        <v>6.29</v>
      </c>
      <c r="G14" s="46">
        <v>6.29</v>
      </c>
      <c r="H14" s="46">
        <v>6.09</v>
      </c>
      <c r="I14" s="46">
        <v>6.45</v>
      </c>
      <c r="J14" s="46">
        <v>6.53</v>
      </c>
      <c r="K14" s="46">
        <v>6.3</v>
      </c>
      <c r="L14" s="46">
        <v>6.54</v>
      </c>
      <c r="M14" s="46">
        <v>6.44</v>
      </c>
      <c r="N14" s="46">
        <v>6.56</v>
      </c>
      <c r="O14" s="46">
        <v>6.6480331092979021</v>
      </c>
      <c r="P14" s="46">
        <v>7.05</v>
      </c>
      <c r="Q14" s="46">
        <v>7.406485775261797</v>
      </c>
      <c r="R14" s="46">
        <v>7.2133972918151423</v>
      </c>
      <c r="S14" s="46">
        <v>8.0534562415252147</v>
      </c>
      <c r="T14" s="46">
        <v>8.8922024662071433</v>
      </c>
      <c r="U14" s="46">
        <v>9.9559597581794819</v>
      </c>
      <c r="V14" s="46">
        <v>9.5</v>
      </c>
      <c r="W14" s="46">
        <v>8.8841619870478699</v>
      </c>
      <c r="X14" s="46">
        <v>8.6113851777270671</v>
      </c>
      <c r="Y14" s="46">
        <v>8.9877920789301839</v>
      </c>
      <c r="Z14" s="46">
        <v>8.5666638502493058</v>
      </c>
      <c r="AA14" s="46">
        <v>8.2766327513263924</v>
      </c>
      <c r="AB14" s="46">
        <v>8.2164658464514613</v>
      </c>
      <c r="AC14" s="46">
        <v>8.4</v>
      </c>
      <c r="AD14" s="46">
        <v>8.5299999999999994</v>
      </c>
      <c r="AE14" s="46">
        <v>8.61</v>
      </c>
      <c r="AF14" s="46">
        <v>8.94</v>
      </c>
      <c r="AG14" s="46">
        <v>9.48</v>
      </c>
      <c r="AH14" s="46">
        <v>9.6564868231054248</v>
      </c>
      <c r="AI14" s="46">
        <v>10.120993689600802</v>
      </c>
      <c r="AJ14" s="46">
        <v>10.119706105283349</v>
      </c>
      <c r="AK14" s="46">
        <v>9.6265831448081869</v>
      </c>
      <c r="AL14" s="46">
        <v>9.2754584983262216</v>
      </c>
      <c r="AM14" s="46">
        <v>9.3936910775523863</v>
      </c>
      <c r="AN14" s="46">
        <v>9.9677849538514423</v>
      </c>
      <c r="AO14" s="46">
        <v>9.6792579834318158</v>
      </c>
      <c r="AP14" s="46">
        <v>9.8741182198546333</v>
      </c>
      <c r="AQ14" s="46">
        <v>9.5410806601169043</v>
      </c>
      <c r="AR14" s="46">
        <v>9.9851891344099943</v>
      </c>
      <c r="AS14" s="46">
        <v>9.6876018775604837</v>
      </c>
      <c r="AT14" s="46">
        <v>9.8588106809798006</v>
      </c>
      <c r="AU14" s="46">
        <v>10.50324229235984</v>
      </c>
      <c r="AV14" s="46">
        <v>10.07</v>
      </c>
      <c r="AW14" s="46">
        <v>10.48542878065742</v>
      </c>
      <c r="AX14" s="46">
        <v>10.925283269726412</v>
      </c>
      <c r="AY14" s="46">
        <v>10.647577415967255</v>
      </c>
      <c r="AZ14" s="46">
        <v>10.360889947776561</v>
      </c>
      <c r="BA14" s="46">
        <v>9.4762266249718685</v>
      </c>
      <c r="BB14" s="46">
        <v>9.4873734406504333</v>
      </c>
      <c r="BC14" s="46">
        <v>9.1023483940335179</v>
      </c>
      <c r="BD14" s="46">
        <v>9.1850566557821356</v>
      </c>
      <c r="BE14" s="46">
        <v>9.4899591112749206</v>
      </c>
      <c r="BF14" s="46">
        <v>8.6697405834803742</v>
      </c>
      <c r="BG14" s="46">
        <v>8.3621216475929447</v>
      </c>
      <c r="BH14" s="46">
        <v>8.2554996651869264</v>
      </c>
      <c r="BI14" s="46">
        <v>8.4057084050314543</v>
      </c>
      <c r="BJ14" s="46">
        <v>7.8341342279723589</v>
      </c>
      <c r="BK14" s="46">
        <v>7.0511474741301665</v>
      </c>
      <c r="BL14" s="46">
        <v>6.7467347989308237</v>
      </c>
      <c r="BM14" s="46">
        <v>6.6520142106707452</v>
      </c>
      <c r="BN14" s="46">
        <v>5.5736886750843748</v>
      </c>
      <c r="BO14" s="46">
        <v>5.5979552756502082</v>
      </c>
      <c r="BP14" s="46">
        <v>5.3647994948243882</v>
      </c>
      <c r="BQ14" s="46">
        <v>4.9256122391032404</v>
      </c>
      <c r="BR14" s="46">
        <v>5.4023708049891948</v>
      </c>
      <c r="BS14" s="46">
        <v>6.7267404652730116</v>
      </c>
      <c r="BT14" s="46">
        <v>6.88</v>
      </c>
      <c r="BU14" s="46">
        <v>6.1417660841190784</v>
      </c>
      <c r="BV14" s="46">
        <v>6.0185864339028354</v>
      </c>
      <c r="BW14" s="46">
        <v>6.4951269906473108</v>
      </c>
      <c r="BX14" s="46">
        <v>6.3994539143536233</v>
      </c>
      <c r="BY14" s="46">
        <v>6.1875294706409401</v>
      </c>
      <c r="BZ14" s="46">
        <v>6.2656182602467965</v>
      </c>
      <c r="CA14" s="46">
        <v>6.4305800441391687</v>
      </c>
      <c r="CB14" s="46">
        <v>6.1700191179244559</v>
      </c>
      <c r="CC14" s="46">
        <v>6.3523993801626322</v>
      </c>
      <c r="CD14" s="46">
        <v>6.243134558379519</v>
      </c>
      <c r="CE14" s="46">
        <v>5.952886247027406</v>
      </c>
      <c r="CF14" s="46">
        <v>5.6476059822146913</v>
      </c>
      <c r="CG14" s="46">
        <v>6.002107092367325</v>
      </c>
      <c r="CH14" s="46">
        <v>6.1889599173309326</v>
      </c>
      <c r="CI14" s="46">
        <v>6.0528144976018581</v>
      </c>
      <c r="CJ14" s="46">
        <v>6.1459974857737558</v>
      </c>
      <c r="CK14" s="46">
        <v>5.6047661617120328</v>
      </c>
      <c r="CL14" s="46">
        <v>5.9896672212187463</v>
      </c>
      <c r="CM14" s="46">
        <v>6.2390706553259685</v>
      </c>
      <c r="CN14" s="46">
        <v>6.1715166835135724</v>
      </c>
      <c r="CO14" s="46">
        <v>5.8397949220675969</v>
      </c>
      <c r="CP14" s="46">
        <v>6.1192603126029015</v>
      </c>
      <c r="CQ14" s="46">
        <v>6.2520752340748595</v>
      </c>
      <c r="CR14" s="46">
        <v>7.0097953297145983</v>
      </c>
      <c r="CS14" s="46">
        <v>6.88486826938819</v>
      </c>
      <c r="CT14" s="46">
        <v>6.9697278207915829</v>
      </c>
      <c r="CU14" s="46">
        <v>6.9603853767541448</v>
      </c>
      <c r="CV14" s="46">
        <v>6.7365786821635245</v>
      </c>
      <c r="CW14" s="46">
        <v>6.952853647920592</v>
      </c>
      <c r="CX14" s="46">
        <v>6.6449127189547932</v>
      </c>
      <c r="CY14" s="46">
        <v>6.6785173162402298</v>
      </c>
      <c r="CZ14" s="46">
        <v>6.0872100091545507</v>
      </c>
      <c r="DA14" s="46">
        <v>5.8617067326749162</v>
      </c>
      <c r="DB14" s="46">
        <v>5.0461951802090281</v>
      </c>
      <c r="DC14" s="46">
        <v>5.1445913119523965</v>
      </c>
      <c r="DD14" s="46">
        <v>5.1037621725990592</v>
      </c>
      <c r="DE14" s="46">
        <v>5.2010005226510652</v>
      </c>
      <c r="DF14" s="46">
        <v>5.6899094656159654</v>
      </c>
      <c r="DG14" s="46">
        <v>5.741900636882562</v>
      </c>
      <c r="DH14" s="46">
        <v>6.0353678725378241</v>
      </c>
      <c r="DI14" s="46">
        <v>5.7416401960557177</v>
      </c>
      <c r="DJ14" s="46">
        <v>5.5880765872757738</v>
      </c>
      <c r="DK14" s="46">
        <v>5.6343447414043561</v>
      </c>
      <c r="DL14" s="46">
        <v>5.6574289428355318</v>
      </c>
      <c r="DM14" s="46">
        <v>5.7210351715609677</v>
      </c>
      <c r="DN14" s="46">
        <v>5.7255827085130786</v>
      </c>
      <c r="DO14" s="46">
        <v>5.6985774263499698</v>
      </c>
      <c r="DP14" s="46">
        <v>5.6030845607852005</v>
      </c>
      <c r="DQ14" s="46">
        <v>5.4724610968121485</v>
      </c>
      <c r="DR14" s="46">
        <v>5.4043965671967378</v>
      </c>
      <c r="DS14" s="46">
        <v>5.4034388723182882</v>
      </c>
      <c r="DT14" s="46">
        <v>5.3459395089978106</v>
      </c>
      <c r="DU14" s="46">
        <v>5.5071734280242968</v>
      </c>
      <c r="DV14" s="46">
        <v>5.66</v>
      </c>
      <c r="DW14" s="46">
        <v>5.7803910235888996</v>
      </c>
      <c r="DX14" s="46">
        <v>5.8534530718526696</v>
      </c>
      <c r="DY14" s="46">
        <v>5.8826886430837497</v>
      </c>
      <c r="DZ14" s="46">
        <v>5.9543382495766801</v>
      </c>
      <c r="EA14" s="46">
        <v>6.5011095434785098</v>
      </c>
      <c r="EB14" s="46">
        <v>4.9978595512608699</v>
      </c>
      <c r="EC14" s="46">
        <v>4.3410517205660097</v>
      </c>
      <c r="ED14" s="46">
        <v>6.2443298086669099</v>
      </c>
      <c r="EE14" s="46">
        <v>5.9295698113337902</v>
      </c>
      <c r="EF14" s="46">
        <v>5.8017270038372599</v>
      </c>
      <c r="EG14" s="46">
        <v>5.8211878960792998</v>
      </c>
      <c r="EH14" s="46">
        <v>5.8592718492586604</v>
      </c>
      <c r="EI14" s="46">
        <v>6</v>
      </c>
      <c r="EJ14" s="46">
        <v>5.4306023012632894</v>
      </c>
      <c r="EK14" s="46">
        <v>5.54669882262277</v>
      </c>
      <c r="EL14" s="46">
        <v>5.4913707859508101</v>
      </c>
      <c r="EM14" s="46">
        <v>5.570345703683298</v>
      </c>
      <c r="EN14" s="46">
        <v>5.6320547515802195</v>
      </c>
      <c r="EO14" s="46">
        <v>6.1642038287288941</v>
      </c>
      <c r="EP14" s="46">
        <v>6.3784857795723751</v>
      </c>
      <c r="EQ14" s="46">
        <v>3.7704495758272989</v>
      </c>
      <c r="ER14" s="46">
        <v>3.7943101049297603</v>
      </c>
      <c r="ES14" s="46">
        <v>3.9104297432175263</v>
      </c>
      <c r="ET14" s="46">
        <v>3.3715373623214133</v>
      </c>
      <c r="EU14" s="46">
        <v>3.8126776820876764</v>
      </c>
      <c r="EV14" s="46">
        <v>3.9740698016689362</v>
      </c>
      <c r="EW14" s="46">
        <v>4.0417661514235093</v>
      </c>
      <c r="EX14" s="46">
        <v>4.0425608758293201</v>
      </c>
      <c r="EY14" s="46">
        <v>4.3491462931160125</v>
      </c>
      <c r="EZ14" s="46">
        <v>4.4675864497297875</v>
      </c>
      <c r="FA14" s="46">
        <v>4.8445666994118639</v>
      </c>
      <c r="FB14" s="46">
        <v>5.6677417838347957</v>
      </c>
      <c r="FC14" s="46">
        <v>5.4163263332480893</v>
      </c>
      <c r="FD14" s="46">
        <v>5.1682674547192935</v>
      </c>
      <c r="FE14" s="46">
        <v>5.8209487526934289</v>
      </c>
      <c r="FF14" s="46">
        <v>5.1747872569152751</v>
      </c>
      <c r="FG14" s="46">
        <v>5.3101447870132015</v>
      </c>
      <c r="FH14" s="46">
        <v>5.3848966256109447</v>
      </c>
      <c r="FI14" s="46">
        <v>5.4289589126870785</v>
      </c>
      <c r="FJ14" s="46">
        <v>5.2296782644881645</v>
      </c>
      <c r="FK14" s="46">
        <v>5.1920533574302405</v>
      </c>
      <c r="FL14" s="46">
        <v>5.6719499466993932</v>
      </c>
      <c r="FM14" s="46">
        <v>5.6592976581722159</v>
      </c>
      <c r="FN14" s="46">
        <v>5.552660024173635</v>
      </c>
      <c r="FO14" s="46">
        <v>5.3034035554364305</v>
      </c>
      <c r="FP14" s="46">
        <v>4.2140149382273968</v>
      </c>
      <c r="FQ14" s="46">
        <v>5.5329047784568175</v>
      </c>
      <c r="FR14" s="46">
        <v>4.9493351192509198</v>
      </c>
      <c r="FS14" s="46">
        <v>4.8651588118372704</v>
      </c>
      <c r="FT14" s="46">
        <v>4.8610380199862409</v>
      </c>
      <c r="FU14" s="46">
        <v>4.7337240844629607</v>
      </c>
      <c r="FV14" s="46">
        <v>4.8245578810824838</v>
      </c>
      <c r="FW14" s="46">
        <v>4.6849581151980706</v>
      </c>
      <c r="FX14" s="46">
        <v>4.5912757052452209</v>
      </c>
      <c r="FY14" s="46">
        <v>4.6464727408108653</v>
      </c>
      <c r="FZ14" s="46">
        <v>4.7362011225742009</v>
      </c>
      <c r="GA14" s="46">
        <v>4.7845155613990915</v>
      </c>
      <c r="GB14" s="46">
        <v>4.7682987018485496</v>
      </c>
      <c r="GC14" s="46">
        <v>4.7128299405666283</v>
      </c>
      <c r="GD14" s="46">
        <v>4.5806310606330269</v>
      </c>
      <c r="GE14" s="46">
        <v>4.6527843359069978</v>
      </c>
      <c r="GF14" s="46">
        <v>4.7761024781162655</v>
      </c>
      <c r="GG14" s="51">
        <v>5.7065243387448756</v>
      </c>
      <c r="GH14" s="51">
        <v>5.8361589915343899</v>
      </c>
      <c r="GI14" s="51">
        <v>5.8437262898597204</v>
      </c>
      <c r="GJ14" s="51">
        <v>5.7009033542652396</v>
      </c>
      <c r="GK14" s="51">
        <v>6.0451931578642499</v>
      </c>
      <c r="GL14" s="51">
        <v>5.5673585950654703</v>
      </c>
      <c r="GM14" s="51">
        <v>4.9825950302726003</v>
      </c>
      <c r="GN14" s="51">
        <v>6.2542879798381401</v>
      </c>
      <c r="GO14" s="56">
        <v>5.9197146842321304</v>
      </c>
      <c r="GP14" s="56">
        <v>5.2832596197895398</v>
      </c>
      <c r="GQ14" s="56">
        <v>5.7828781672670404</v>
      </c>
      <c r="GR14" s="56">
        <v>5.7575904795127997</v>
      </c>
      <c r="GS14" s="56">
        <v>5.1536050332865502</v>
      </c>
      <c r="GT14" s="56">
        <v>5.1109629597527597</v>
      </c>
      <c r="GU14" s="56">
        <v>5.2504719722231998</v>
      </c>
      <c r="GV14" s="56">
        <v>5.0781894937140102</v>
      </c>
      <c r="GW14" s="56">
        <v>5.3109586929174304</v>
      </c>
      <c r="GX14" s="56">
        <v>5.2423294851309397</v>
      </c>
      <c r="GY14" s="56">
        <v>5.2423294851309397</v>
      </c>
      <c r="GZ14" s="56">
        <v>5.3147952529390103</v>
      </c>
      <c r="HA14" s="56">
        <v>5.3006864373290004</v>
      </c>
      <c r="HB14" s="56">
        <v>5.31907621153006</v>
      </c>
      <c r="HC14" s="56">
        <v>5.4251661885873101</v>
      </c>
      <c r="HD14" s="56">
        <v>5.4698052322823001</v>
      </c>
      <c r="HE14" s="56">
        <v>5.65349734447594</v>
      </c>
      <c r="HF14" s="56">
        <v>5.6622528009373703</v>
      </c>
      <c r="HG14" s="56">
        <v>5.6755645513418402</v>
      </c>
      <c r="HH14" s="56">
        <v>5.4454532782358704</v>
      </c>
      <c r="HI14" s="56">
        <v>5.0563448097957702</v>
      </c>
      <c r="HJ14" s="56">
        <v>5.05465920912523</v>
      </c>
      <c r="HK14" s="56">
        <v>5.12942296046955</v>
      </c>
      <c r="HL14" s="56">
        <v>5.0956266287915604</v>
      </c>
      <c r="HM14" s="56">
        <v>5.0818051820108803</v>
      </c>
      <c r="HN14" s="56">
        <v>5.1248496428737198</v>
      </c>
      <c r="HO14" s="56">
        <v>5.31848648384398</v>
      </c>
      <c r="HP14" s="56">
        <v>5.1422600917822496</v>
      </c>
      <c r="HQ14" s="56">
        <v>5.0962648055484498</v>
      </c>
      <c r="HR14" s="56">
        <v>5.21347996844188</v>
      </c>
      <c r="HS14" s="56">
        <v>5.3055054247456797</v>
      </c>
      <c r="HT14" s="56">
        <v>5.4311237017009102</v>
      </c>
      <c r="HU14" s="56">
        <v>5.4758750207010003</v>
      </c>
      <c r="HV14" s="56">
        <v>5.62206208973919</v>
      </c>
      <c r="HW14" s="56">
        <v>5.5980697394133001</v>
      </c>
      <c r="HX14" s="56">
        <v>5.6290513279957199</v>
      </c>
      <c r="HY14" s="56">
        <v>5.6626923926175801</v>
      </c>
      <c r="HZ14" s="56">
        <v>5.6306211834863404</v>
      </c>
      <c r="IA14" s="56">
        <v>5.71963620811559</v>
      </c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</row>
    <row r="15" spans="1:451 16010:16011">
      <c r="A15" s="20" t="s">
        <v>244</v>
      </c>
      <c r="B15" s="33" t="s">
        <v>202</v>
      </c>
      <c r="C15" s="20" t="s">
        <v>244</v>
      </c>
      <c r="D15" s="53">
        <v>9.31</v>
      </c>
      <c r="E15" s="46">
        <v>9.61</v>
      </c>
      <c r="F15" s="46">
        <v>9.32</v>
      </c>
      <c r="G15" s="46">
        <v>8.9499999999999993</v>
      </c>
      <c r="H15" s="46">
        <v>8.8800000000000008</v>
      </c>
      <c r="I15" s="46">
        <v>9.07</v>
      </c>
      <c r="J15" s="46">
        <v>9.59</v>
      </c>
      <c r="K15" s="46">
        <v>9.66</v>
      </c>
      <c r="L15" s="46">
        <v>10.11</v>
      </c>
      <c r="M15" s="46">
        <v>9.91</v>
      </c>
      <c r="N15" s="46">
        <v>10.19</v>
      </c>
      <c r="O15" s="46">
        <v>10.35720870121054</v>
      </c>
      <c r="P15" s="46">
        <v>10.422085563422144</v>
      </c>
      <c r="Q15" s="46">
        <v>10.7</v>
      </c>
      <c r="R15" s="46">
        <v>10.74</v>
      </c>
      <c r="S15" s="46">
        <v>11.029584083069281</v>
      </c>
      <c r="T15" s="46">
        <v>11.810650391799564</v>
      </c>
      <c r="U15" s="46">
        <v>11.794225129843484</v>
      </c>
      <c r="V15" s="46">
        <v>11.88</v>
      </c>
      <c r="W15" s="46">
        <v>12.285445267172477</v>
      </c>
      <c r="X15" s="46">
        <v>12.121279826851636</v>
      </c>
      <c r="Y15" s="46">
        <v>12.111721799915449</v>
      </c>
      <c r="Z15" s="46">
        <v>11.96345598334665</v>
      </c>
      <c r="AA15" s="46">
        <v>12.09140819408622</v>
      </c>
      <c r="AB15" s="46">
        <v>12.075913805543339</v>
      </c>
      <c r="AC15" s="46">
        <v>11.76</v>
      </c>
      <c r="AD15" s="46">
        <v>11.81</v>
      </c>
      <c r="AE15" s="46">
        <v>11.56</v>
      </c>
      <c r="AF15" s="46">
        <v>11.66</v>
      </c>
      <c r="AG15" s="46">
        <v>11.9</v>
      </c>
      <c r="AH15" s="46">
        <v>11.799299005769463</v>
      </c>
      <c r="AI15" s="46">
        <v>11.940224848650731</v>
      </c>
      <c r="AJ15" s="46">
        <v>12.2538635243053</v>
      </c>
      <c r="AK15" s="46">
        <v>12.411341707463139</v>
      </c>
      <c r="AL15" s="46">
        <v>12.38642901690001</v>
      </c>
      <c r="AM15" s="46">
        <v>12.462181043936056</v>
      </c>
      <c r="AN15" s="46">
        <v>12.507081055880906</v>
      </c>
      <c r="AO15" s="46">
        <v>12.466169821551761</v>
      </c>
      <c r="AP15" s="46">
        <v>12.33353833515657</v>
      </c>
      <c r="AQ15" s="46">
        <v>12.315452273240837</v>
      </c>
      <c r="AR15" s="46">
        <v>12.47556650917624</v>
      </c>
      <c r="AS15" s="46">
        <v>12.762375816747817</v>
      </c>
      <c r="AT15" s="46">
        <v>12.82204200571012</v>
      </c>
      <c r="AU15" s="46">
        <v>12.753043958128348</v>
      </c>
      <c r="AV15" s="46">
        <v>12.71</v>
      </c>
      <c r="AW15" s="46">
        <v>12.658594284981852</v>
      </c>
      <c r="AX15" s="46">
        <v>12.872609194403255</v>
      </c>
      <c r="AY15" s="46">
        <v>12.431974973315427</v>
      </c>
      <c r="AZ15" s="46">
        <v>12.639179325138763</v>
      </c>
      <c r="BA15" s="46">
        <v>12.540531737560679</v>
      </c>
      <c r="BB15" s="46">
        <v>12.383069613881007</v>
      </c>
      <c r="BC15" s="46">
        <v>12.303831266157998</v>
      </c>
      <c r="BD15" s="46">
        <v>12.411562493669667</v>
      </c>
      <c r="BE15" s="46">
        <v>12.422181472736778</v>
      </c>
      <c r="BF15" s="46">
        <v>12.424479594551778</v>
      </c>
      <c r="BG15" s="46">
        <v>12.750665830845687</v>
      </c>
      <c r="BH15" s="46">
        <v>12.525949162033642</v>
      </c>
      <c r="BI15" s="46">
        <v>12.919316585535949</v>
      </c>
      <c r="BJ15" s="46">
        <v>13.037804423806095</v>
      </c>
      <c r="BK15" s="46">
        <v>13.205636117207286</v>
      </c>
      <c r="BL15" s="46">
        <v>12.940092829025316</v>
      </c>
      <c r="BM15" s="46">
        <v>12.975171334747234</v>
      </c>
      <c r="BN15" s="46">
        <v>13.068069605315584</v>
      </c>
      <c r="BO15" s="46">
        <v>12.99509764578243</v>
      </c>
      <c r="BP15" s="46">
        <v>13.089098033686465</v>
      </c>
      <c r="BQ15" s="46">
        <v>12.165286245944124</v>
      </c>
      <c r="BR15" s="46">
        <v>12.909869514038768</v>
      </c>
      <c r="BS15" s="46">
        <v>12.806249301499806</v>
      </c>
      <c r="BT15" s="46">
        <v>12.68</v>
      </c>
      <c r="BU15" s="46">
        <v>12.087768671419427</v>
      </c>
      <c r="BV15" s="46">
        <v>12.099914099277674</v>
      </c>
      <c r="BW15" s="46">
        <v>11.957003225093425</v>
      </c>
      <c r="BX15" s="46">
        <v>12.04656227075661</v>
      </c>
      <c r="BY15" s="46">
        <v>11.790199541365546</v>
      </c>
      <c r="BZ15" s="46">
        <v>11.832936923129816</v>
      </c>
      <c r="CA15" s="46">
        <v>11.788356645919132</v>
      </c>
      <c r="CB15" s="46">
        <v>11.734494069090399</v>
      </c>
      <c r="CC15" s="46">
        <v>11.660048420574828</v>
      </c>
      <c r="CD15" s="46">
        <v>11.661417336013049</v>
      </c>
      <c r="CE15" s="46">
        <v>11.41764144314357</v>
      </c>
      <c r="CF15" s="46">
        <v>11.418209840656967</v>
      </c>
      <c r="CG15" s="46">
        <v>11.338672615214165</v>
      </c>
      <c r="CH15" s="46">
        <v>11.376597264468083</v>
      </c>
      <c r="CI15" s="46">
        <v>11.21640361184954</v>
      </c>
      <c r="CJ15" s="46">
        <v>11.103937454233314</v>
      </c>
      <c r="CK15" s="46">
        <v>10.758618172383821</v>
      </c>
      <c r="CL15" s="46">
        <v>10.805989601825516</v>
      </c>
      <c r="CM15" s="46">
        <v>10.649978915861997</v>
      </c>
      <c r="CN15" s="46">
        <v>10.701449830593598</v>
      </c>
      <c r="CO15" s="46">
        <v>10.708923721899398</v>
      </c>
      <c r="CP15" s="46">
        <v>10.741910375270537</v>
      </c>
      <c r="CQ15" s="46">
        <v>10.774112942548228</v>
      </c>
      <c r="CR15" s="46">
        <v>10.665166053481141</v>
      </c>
      <c r="CS15" s="46">
        <v>10.638747475010177</v>
      </c>
      <c r="CT15" s="46">
        <v>10.531491644690613</v>
      </c>
      <c r="CU15" s="46">
        <v>10.370942184864951</v>
      </c>
      <c r="CV15" s="46">
        <v>10.369642731213707</v>
      </c>
      <c r="CW15" s="46">
        <v>10.249739926374248</v>
      </c>
      <c r="CX15" s="46">
        <v>10.221221926246397</v>
      </c>
      <c r="CY15" s="46">
        <v>10.327171488966313</v>
      </c>
      <c r="CZ15" s="46">
        <v>10.327440430431482</v>
      </c>
      <c r="DA15" s="46">
        <v>9.9755434490535393</v>
      </c>
      <c r="DB15" s="46">
        <v>9.9860577434342801</v>
      </c>
      <c r="DC15" s="46">
        <v>10.054310610782855</v>
      </c>
      <c r="DD15" s="46">
        <v>9.9686707134004457</v>
      </c>
      <c r="DE15" s="46">
        <v>9.9357171909679831</v>
      </c>
      <c r="DF15" s="46">
        <v>9.9002270571142468</v>
      </c>
      <c r="DG15" s="46">
        <v>9.8341212158887519</v>
      </c>
      <c r="DH15" s="46">
        <v>9.8677042142317681</v>
      </c>
      <c r="DI15" s="46">
        <v>9.8069731601243859</v>
      </c>
      <c r="DJ15" s="46">
        <v>9.7959391989648825</v>
      </c>
      <c r="DK15" s="46">
        <v>9.8094861557187887</v>
      </c>
      <c r="DL15" s="46">
        <v>9.7253732054530424</v>
      </c>
      <c r="DM15" s="46">
        <v>9.5498014201292278</v>
      </c>
      <c r="DN15" s="46">
        <v>9.4927950715278726</v>
      </c>
      <c r="DO15" s="46">
        <v>9.4494477178255458</v>
      </c>
      <c r="DP15" s="46">
        <v>9.4551944937467365</v>
      </c>
      <c r="DQ15" s="46">
        <v>9.4312218409064723</v>
      </c>
      <c r="DR15" s="46">
        <v>9.4057196280001918</v>
      </c>
      <c r="DS15" s="46">
        <v>9.3900790866800765</v>
      </c>
      <c r="DT15" s="46">
        <v>9.4538708567163017</v>
      </c>
      <c r="DU15" s="46">
        <v>9.4502936481120976</v>
      </c>
      <c r="DV15" s="46">
        <v>9.41</v>
      </c>
      <c r="DW15" s="46">
        <v>9.6388379035779508</v>
      </c>
      <c r="DX15" s="46">
        <v>9.7085174852379392</v>
      </c>
      <c r="DY15" s="46">
        <v>9.5772618714173703</v>
      </c>
      <c r="DZ15" s="46">
        <v>9.6624543115970098</v>
      </c>
      <c r="EA15" s="46">
        <v>9.7045400945932396</v>
      </c>
      <c r="EB15" s="46">
        <v>9.6744568941849902</v>
      </c>
      <c r="EC15" s="46">
        <v>9.4872626957335502</v>
      </c>
      <c r="ED15" s="46">
        <v>9.45086708734555</v>
      </c>
      <c r="EE15" s="46">
        <v>9.4120078728045105</v>
      </c>
      <c r="EF15" s="46">
        <v>9.3323595321086206</v>
      </c>
      <c r="EG15" s="46">
        <v>9.1430579002005903</v>
      </c>
      <c r="EH15" s="46">
        <v>8.9048486191943308</v>
      </c>
      <c r="EI15" s="46">
        <v>8.9616318320289405</v>
      </c>
      <c r="EJ15" s="46">
        <v>9.1863149915308071</v>
      </c>
      <c r="EK15" s="46">
        <v>8.9406493286928708</v>
      </c>
      <c r="EL15" s="46">
        <v>8.9532688197881569</v>
      </c>
      <c r="EM15" s="46">
        <v>9.0441524568560432</v>
      </c>
      <c r="EN15" s="46">
        <v>8.8421775694834501</v>
      </c>
      <c r="EO15" s="46">
        <v>9.803234665422023</v>
      </c>
      <c r="EP15" s="46">
        <v>9.9388924611118927</v>
      </c>
      <c r="EQ15" s="46">
        <v>10.086352967138801</v>
      </c>
      <c r="ER15" s="46">
        <v>10.178784193448665</v>
      </c>
      <c r="ES15" s="46">
        <v>10.314322112643243</v>
      </c>
      <c r="ET15" s="46">
        <v>10.216958540404859</v>
      </c>
      <c r="EU15" s="46">
        <v>10.526655082026998</v>
      </c>
      <c r="EV15" s="46">
        <v>10.809964370250285</v>
      </c>
      <c r="EW15" s="46">
        <v>11.044817935624556</v>
      </c>
      <c r="EX15" s="46">
        <v>11.316739331672723</v>
      </c>
      <c r="EY15" s="46">
        <v>11.455164448017138</v>
      </c>
      <c r="EZ15" s="46">
        <v>11.635218323883903</v>
      </c>
      <c r="FA15" s="46">
        <v>11.724731365051523</v>
      </c>
      <c r="FB15" s="46">
        <v>11.752540109386118</v>
      </c>
      <c r="FC15" s="46">
        <v>11.830688634479234</v>
      </c>
      <c r="FD15" s="46">
        <v>11.741638554738707</v>
      </c>
      <c r="FE15" s="46">
        <v>11.586417445667854</v>
      </c>
      <c r="FF15" s="46">
        <v>11.43173545550221</v>
      </c>
      <c r="FG15" s="46">
        <v>11.182912251135983</v>
      </c>
      <c r="FH15" s="46">
        <v>11.040797292372552</v>
      </c>
      <c r="FI15" s="46">
        <v>10.905032870854727</v>
      </c>
      <c r="FJ15" s="46">
        <v>10.689306328631396</v>
      </c>
      <c r="FK15" s="46">
        <v>10.508945174551602</v>
      </c>
      <c r="FL15" s="46">
        <v>10.34397979602875</v>
      </c>
      <c r="FM15" s="46">
        <v>10.244794937643631</v>
      </c>
      <c r="FN15" s="46">
        <v>10.303634296580562</v>
      </c>
      <c r="FO15" s="46">
        <v>10.186274697644661</v>
      </c>
      <c r="FP15" s="46">
        <v>9.999822175443402</v>
      </c>
      <c r="FQ15" s="46">
        <v>10.012396819931507</v>
      </c>
      <c r="FR15" s="46">
        <v>9.9616980660605723</v>
      </c>
      <c r="FS15" s="46">
        <v>10.004251833794079</v>
      </c>
      <c r="FT15" s="46">
        <v>9.7899244769381859</v>
      </c>
      <c r="FU15" s="46">
        <v>10.050142406631704</v>
      </c>
      <c r="FV15" s="46">
        <v>10.238831973469976</v>
      </c>
      <c r="FW15" s="46">
        <v>10.238862634862038</v>
      </c>
      <c r="FX15" s="46">
        <v>10.180876787368353</v>
      </c>
      <c r="FY15" s="46">
        <v>10.125377877710898</v>
      </c>
      <c r="FZ15" s="46">
        <v>10.07470392403784</v>
      </c>
      <c r="GA15" s="46">
        <v>10.008132508840548</v>
      </c>
      <c r="GB15" s="46">
        <v>9.7576963837057527</v>
      </c>
      <c r="GC15" s="46">
        <v>9.680086042086371</v>
      </c>
      <c r="GD15" s="46">
        <v>9.5957537879121997</v>
      </c>
      <c r="GE15" s="46">
        <v>9.3817034310065885</v>
      </c>
      <c r="GF15" s="46">
        <v>9.2772753914187103</v>
      </c>
      <c r="GG15" s="51">
        <v>9.0964613758997128</v>
      </c>
      <c r="GH15" s="51">
        <v>8.9020938528194709</v>
      </c>
      <c r="GI15" s="51">
        <v>8.9455356674796995</v>
      </c>
      <c r="GJ15" s="51">
        <v>8.9428075552246291</v>
      </c>
      <c r="GK15" s="51">
        <v>8.9670797575333197</v>
      </c>
      <c r="GL15" s="51">
        <v>8.9541909591081392</v>
      </c>
      <c r="GM15" s="51">
        <v>8.8759757609061403</v>
      </c>
      <c r="GN15" s="51">
        <v>9.0099460527382291</v>
      </c>
      <c r="GO15" s="56">
        <v>8.9950017472229096</v>
      </c>
      <c r="GP15" s="56">
        <v>9.0030366838800298</v>
      </c>
      <c r="GQ15" s="56">
        <v>9.1363696498089908</v>
      </c>
      <c r="GR15" s="56">
        <v>9.0649526850212307</v>
      </c>
      <c r="GS15" s="56">
        <v>9.0879180496813099</v>
      </c>
      <c r="GT15" s="56">
        <v>9.0701170638112103</v>
      </c>
      <c r="GU15" s="56">
        <v>9.0894285990718906</v>
      </c>
      <c r="GV15" s="56">
        <v>9.0852094344791592</v>
      </c>
      <c r="GW15" s="56">
        <v>9.0444479455845208</v>
      </c>
      <c r="GX15" s="56">
        <v>9.0622579485733699</v>
      </c>
      <c r="GY15" s="56">
        <v>9.0622579485733699</v>
      </c>
      <c r="GZ15" s="56">
        <v>9.0822036289567798</v>
      </c>
      <c r="HA15" s="56">
        <v>9.0853432585860006</v>
      </c>
      <c r="HB15" s="56">
        <v>9.1150738478398896</v>
      </c>
      <c r="HC15" s="56">
        <v>9.1183048055635592</v>
      </c>
      <c r="HD15" s="56">
        <v>9.1274990307266997</v>
      </c>
      <c r="HE15" s="56">
        <v>9.1677763806918406</v>
      </c>
      <c r="HF15" s="56">
        <v>9.1342740900264108</v>
      </c>
      <c r="HG15" s="56">
        <v>9.1363305415739209</v>
      </c>
      <c r="HH15" s="56">
        <v>9.1296443041515296</v>
      </c>
      <c r="HI15" s="56">
        <v>9.1731669206519406</v>
      </c>
      <c r="HJ15" s="56">
        <v>9.1881413008153903</v>
      </c>
      <c r="HK15" s="56">
        <v>9.2000210484510596</v>
      </c>
      <c r="HL15" s="56">
        <v>9.2545887239535798</v>
      </c>
      <c r="HM15" s="56">
        <v>9.3054976538606695</v>
      </c>
      <c r="HN15" s="56">
        <v>9.2815949326854508</v>
      </c>
      <c r="HO15" s="56">
        <v>9.2626599030839802</v>
      </c>
      <c r="HP15" s="56">
        <v>9.2842444393086296</v>
      </c>
      <c r="HQ15" s="56">
        <v>9.3021645693288697</v>
      </c>
      <c r="HR15" s="56">
        <v>9.2942095896543808</v>
      </c>
      <c r="HS15" s="56">
        <v>9.2568137191875408</v>
      </c>
      <c r="HT15" s="56">
        <v>9.2246259550186291</v>
      </c>
      <c r="HU15" s="56">
        <v>9.2372276692831292</v>
      </c>
      <c r="HV15" s="56">
        <v>9.2525759443630005</v>
      </c>
      <c r="HW15" s="56">
        <v>9.2609919540112706</v>
      </c>
      <c r="HX15" s="56">
        <v>9.2071129779423995</v>
      </c>
      <c r="HY15" s="56">
        <v>9.2289046054371404</v>
      </c>
      <c r="HZ15" s="56">
        <v>9.25506016766297</v>
      </c>
      <c r="IA15" s="56">
        <v>9.2869447023310805</v>
      </c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</row>
    <row r="16" spans="1:451 16010:16011">
      <c r="A16" s="20" t="s">
        <v>245</v>
      </c>
      <c r="B16" s="33" t="s">
        <v>203</v>
      </c>
      <c r="C16" s="20" t="s">
        <v>245</v>
      </c>
      <c r="D16" s="53">
        <v>2</v>
      </c>
      <c r="E16" s="46" t="s">
        <v>197</v>
      </c>
      <c r="F16" s="46">
        <v>2.93</v>
      </c>
      <c r="G16" s="46">
        <v>3</v>
      </c>
      <c r="H16" s="46">
        <v>3</v>
      </c>
      <c r="I16" s="46">
        <v>3</v>
      </c>
      <c r="J16" s="46">
        <v>3</v>
      </c>
      <c r="K16" s="46">
        <v>3.05</v>
      </c>
      <c r="L16" s="46">
        <v>3.28</v>
      </c>
      <c r="M16" s="46">
        <v>2.19</v>
      </c>
      <c r="N16" s="46">
        <v>3.106589322656983</v>
      </c>
      <c r="O16" s="46">
        <v>5.8354259950902732</v>
      </c>
      <c r="P16" s="46">
        <v>5.9787814820206728</v>
      </c>
      <c r="Q16" s="46">
        <v>8.7545741499612362</v>
      </c>
      <c r="R16" s="46">
        <v>8.25</v>
      </c>
      <c r="S16" s="46">
        <v>11.64018993012005</v>
      </c>
      <c r="T16" s="46">
        <v>10.646318431189448</v>
      </c>
      <c r="U16" s="46">
        <v>11.433895965558564</v>
      </c>
      <c r="V16" s="46">
        <v>5.4899500416319729</v>
      </c>
      <c r="W16" s="46">
        <v>10.713621993127148</v>
      </c>
      <c r="X16" s="46">
        <v>4.9000000000000004</v>
      </c>
      <c r="Y16" s="46">
        <v>6.1539248142778051</v>
      </c>
      <c r="Z16" s="46">
        <v>6.7381507572166335</v>
      </c>
      <c r="AA16" s="46">
        <v>6.5143072634547181</v>
      </c>
      <c r="AB16" s="46">
        <v>7.592864649916514</v>
      </c>
      <c r="AC16" s="46">
        <v>8.9143137723279455</v>
      </c>
      <c r="AD16" s="46">
        <v>8.2167946574183031</v>
      </c>
      <c r="AE16" s="46">
        <v>7.5984972069385535</v>
      </c>
      <c r="AF16" s="46">
        <v>7.8287345094467256</v>
      </c>
      <c r="AG16" s="46">
        <v>7.5311148336001956</v>
      </c>
      <c r="AH16" s="46">
        <v>7.1788217159479757</v>
      </c>
      <c r="AI16" s="46">
        <v>8.0048865262452669</v>
      </c>
      <c r="AJ16" s="46">
        <v>9.3621086473189976</v>
      </c>
      <c r="AK16" s="46">
        <v>6.4336710966583794</v>
      </c>
      <c r="AL16" s="46">
        <v>5.7322675426342444</v>
      </c>
      <c r="AM16" s="46">
        <v>6.6296878950558575</v>
      </c>
      <c r="AN16" s="46">
        <v>6.6643659968121014</v>
      </c>
      <c r="AO16" s="46">
        <v>7.2789934369290759</v>
      </c>
      <c r="AP16" s="46">
        <v>8.6654952656641449</v>
      </c>
      <c r="AQ16" s="46">
        <v>7.146343791708305</v>
      </c>
      <c r="AR16" s="46">
        <v>8.2983684284111128</v>
      </c>
      <c r="AS16" s="46">
        <v>8.1858936208634017</v>
      </c>
      <c r="AT16" s="46">
        <v>8.5409694925024446</v>
      </c>
      <c r="AU16" s="46">
        <v>6.5336394080487299</v>
      </c>
      <c r="AV16" s="46">
        <v>6.8167533539971732</v>
      </c>
      <c r="AW16" s="46">
        <v>7.0024916073361236</v>
      </c>
      <c r="AX16" s="46">
        <v>8.211689515318211</v>
      </c>
      <c r="AY16" s="46">
        <v>9.1996751482608747</v>
      </c>
      <c r="AZ16" s="46">
        <v>7.9680817993564528</v>
      </c>
      <c r="BA16" s="46">
        <v>9.7749030521369775</v>
      </c>
      <c r="BB16" s="46">
        <v>9.8201941958757963</v>
      </c>
      <c r="BC16" s="46">
        <v>10.581093013023837</v>
      </c>
      <c r="BD16" s="46">
        <v>11.583517271217259</v>
      </c>
      <c r="BE16" s="46">
        <v>10.976111370989996</v>
      </c>
      <c r="BF16" s="46">
        <v>10.524158903886978</v>
      </c>
      <c r="BG16" s="46">
        <v>11.133432795752146</v>
      </c>
      <c r="BH16" s="46">
        <v>11.209604742449713</v>
      </c>
      <c r="BI16" s="46">
        <v>9.6494922970841444</v>
      </c>
      <c r="BJ16" s="46">
        <v>8.3552199973613188</v>
      </c>
      <c r="BK16" s="46">
        <v>7.8698268138491132</v>
      </c>
      <c r="BL16" s="46">
        <v>6.9936324112332979</v>
      </c>
      <c r="BM16" s="46">
        <v>8.6575449444266894</v>
      </c>
      <c r="BN16" s="46">
        <v>8.8522612480061493</v>
      </c>
      <c r="BO16" s="46">
        <v>8.7542125476272297</v>
      </c>
      <c r="BP16" s="46">
        <v>8.1461564542991916</v>
      </c>
      <c r="BQ16" s="46">
        <v>6.6294112800477301</v>
      </c>
      <c r="BR16" s="46">
        <v>6.8320591028007538</v>
      </c>
      <c r="BS16" s="46">
        <v>7.8019577344566775</v>
      </c>
      <c r="BT16" s="46">
        <v>7.6559737652903648</v>
      </c>
      <c r="BU16" s="46">
        <v>5.7259969439320102</v>
      </c>
      <c r="BV16" s="46">
        <v>7.0467376592269035</v>
      </c>
      <c r="BW16" s="46">
        <v>6.756312489299952</v>
      </c>
      <c r="BX16" s="46">
        <v>5.9663916993599013</v>
      </c>
      <c r="BY16" s="46">
        <v>6.6957569138013886</v>
      </c>
      <c r="BZ16" s="46">
        <v>6.4568357226119142</v>
      </c>
      <c r="CA16" s="46">
        <v>6.7856786315446236</v>
      </c>
      <c r="CB16" s="46">
        <v>6.3059133687177518</v>
      </c>
      <c r="CC16" s="46">
        <v>10.35886169639342</v>
      </c>
      <c r="CD16" s="46">
        <v>10.217463425994538</v>
      </c>
      <c r="CE16" s="46">
        <v>5.5399120296458619</v>
      </c>
      <c r="CF16" s="46">
        <v>8.2948400053554696</v>
      </c>
      <c r="CG16" s="46">
        <v>8.6809776638593927</v>
      </c>
      <c r="CH16" s="46">
        <v>7.5518506898354865</v>
      </c>
      <c r="CI16" s="46">
        <v>7.6690318027273516</v>
      </c>
      <c r="CJ16" s="46">
        <v>5.8869808553147376</v>
      </c>
      <c r="CK16" s="46">
        <v>5.4513972494086653</v>
      </c>
      <c r="CL16" s="46">
        <v>6.0415100965759434</v>
      </c>
      <c r="CM16" s="46">
        <v>7.3906171206381659</v>
      </c>
      <c r="CN16" s="46">
        <v>7.9274651662485001</v>
      </c>
      <c r="CO16" s="46">
        <v>7.8335430075598289</v>
      </c>
      <c r="CP16" s="46">
        <v>9.0347612504294048</v>
      </c>
      <c r="CQ16" s="46">
        <v>9.5773764261586649</v>
      </c>
      <c r="CR16" s="46">
        <v>9.0758920759275874</v>
      </c>
      <c r="CS16" s="46">
        <v>9.1694490094880745</v>
      </c>
      <c r="CT16" s="46">
        <v>8.1362607597555119</v>
      </c>
      <c r="CU16" s="46">
        <v>9.2532605579446461</v>
      </c>
      <c r="CV16" s="46">
        <v>7.9030248964204395</v>
      </c>
      <c r="CW16" s="46">
        <v>8.3611651832644185</v>
      </c>
      <c r="CX16" s="46">
        <v>8.7048963326647062</v>
      </c>
      <c r="CY16" s="46">
        <v>8.4017430120573593</v>
      </c>
      <c r="CZ16" s="46">
        <v>7.8657170015695117</v>
      </c>
      <c r="DA16" s="46">
        <v>8.616504068504236</v>
      </c>
      <c r="DB16" s="46">
        <v>7.7839632537588628</v>
      </c>
      <c r="DC16" s="46">
        <v>8.7490863311735971</v>
      </c>
      <c r="DD16" s="46">
        <v>7.5205443732257766</v>
      </c>
      <c r="DE16" s="46">
        <v>9.25725399739704</v>
      </c>
      <c r="DF16" s="46">
        <v>7.1503717440553221</v>
      </c>
      <c r="DG16" s="46">
        <v>8.8060031488509818</v>
      </c>
      <c r="DH16" s="46">
        <v>8.0766696660434807</v>
      </c>
      <c r="DI16" s="46">
        <v>8.7409518576250651</v>
      </c>
      <c r="DJ16" s="46">
        <v>9.7226665759723403</v>
      </c>
      <c r="DK16" s="46">
        <v>9.3204560804587864</v>
      </c>
      <c r="DL16" s="46">
        <v>8.1893455420190904</v>
      </c>
      <c r="DM16" s="46">
        <v>7.274786281386401</v>
      </c>
      <c r="DN16" s="46">
        <v>6.0475701035679963</v>
      </c>
      <c r="DO16" s="46">
        <v>7.9269944533918091</v>
      </c>
      <c r="DP16" s="46">
        <v>6.404932642055515</v>
      </c>
      <c r="DQ16" s="46">
        <v>5.5950579021482598</v>
      </c>
      <c r="DR16" s="46">
        <v>5.2219697317351352</v>
      </c>
      <c r="DS16" s="46">
        <v>6.3421131341187937</v>
      </c>
      <c r="DT16" s="46">
        <v>6.56325934979</v>
      </c>
      <c r="DU16" s="46">
        <v>8.0349488911705667</v>
      </c>
      <c r="DV16" s="46">
        <v>8.06</v>
      </c>
      <c r="DW16" s="46">
        <v>7.6508867712816748</v>
      </c>
      <c r="DX16" s="46">
        <v>8.0971018658535066</v>
      </c>
      <c r="DY16" s="46">
        <v>9.2370033407719401</v>
      </c>
      <c r="DZ16" s="46">
        <v>9.2021746237528959</v>
      </c>
      <c r="EA16" s="46">
        <v>8.5503932922155261</v>
      </c>
      <c r="EB16" s="46">
        <v>8.2021947606424455</v>
      </c>
      <c r="EC16" s="46">
        <v>7.856297730843715</v>
      </c>
      <c r="ED16" s="46">
        <v>7.9372763179854271</v>
      </c>
      <c r="EE16" s="46">
        <v>3.9546988839855222</v>
      </c>
      <c r="EF16" s="46">
        <v>4.4023442020001635</v>
      </c>
      <c r="EG16" s="46">
        <v>6.5550852398610076</v>
      </c>
      <c r="EH16" s="46">
        <v>6.9023233322837427</v>
      </c>
      <c r="EI16" s="46">
        <v>7.6211165219846171</v>
      </c>
      <c r="EJ16" s="46">
        <v>8.3561234667273236</v>
      </c>
      <c r="EK16" s="46">
        <v>9.9821080789319385</v>
      </c>
      <c r="EL16" s="46">
        <v>9.7717833893026604</v>
      </c>
      <c r="EM16" s="46">
        <v>9.6314559116572447</v>
      </c>
      <c r="EN16" s="46">
        <v>9.3103728294177728</v>
      </c>
      <c r="EO16" s="46">
        <v>11.767199324773502</v>
      </c>
      <c r="EP16" s="46">
        <v>9.5285670893765619</v>
      </c>
      <c r="EQ16" s="46">
        <v>11.404373047169589</v>
      </c>
      <c r="ER16" s="46">
        <v>11.688140781707217</v>
      </c>
      <c r="ES16" s="46">
        <v>11.153546377183979</v>
      </c>
      <c r="ET16" s="46">
        <v>11.903210608373653</v>
      </c>
      <c r="EU16" s="46">
        <v>11.805834851546109</v>
      </c>
      <c r="EV16" s="46">
        <v>8.7318305378955365</v>
      </c>
      <c r="EW16" s="46">
        <v>8.2956337400505227</v>
      </c>
      <c r="EX16" s="46">
        <v>9.5277975370521037</v>
      </c>
      <c r="EY16" s="46">
        <v>10.260658674246953</v>
      </c>
      <c r="EZ16" s="46">
        <v>7.6046918281721707</v>
      </c>
      <c r="FA16" s="46">
        <v>7.928345052094329</v>
      </c>
      <c r="FB16" s="46">
        <v>6.1699266541421123</v>
      </c>
      <c r="FC16" s="46">
        <v>6.4750419413256042</v>
      </c>
      <c r="FD16" s="46">
        <v>6.0415400753395092</v>
      </c>
      <c r="FE16" s="46">
        <v>6.3076376772265865</v>
      </c>
      <c r="FF16" s="46">
        <v>9.677612652701546</v>
      </c>
      <c r="FG16" s="46">
        <v>6.9710667668741939</v>
      </c>
      <c r="FH16" s="46">
        <v>6.9990074390783823</v>
      </c>
      <c r="FI16" s="46">
        <v>7.862352594152207</v>
      </c>
      <c r="FJ16" s="46">
        <v>10.889844188888285</v>
      </c>
      <c r="FK16" s="46">
        <v>11.083087625979262</v>
      </c>
      <c r="FL16" s="46">
        <v>11.09184337039604</v>
      </c>
      <c r="FM16" s="46">
        <v>11.295020985078448</v>
      </c>
      <c r="FN16" s="46">
        <v>10.188483078684673</v>
      </c>
      <c r="FO16" s="46">
        <v>9.9521610444140176</v>
      </c>
      <c r="FP16" s="46">
        <v>9.921841353767876</v>
      </c>
      <c r="FQ16" s="46">
        <v>10.220013772624851</v>
      </c>
      <c r="FR16" s="46">
        <v>9.1904653303424606</v>
      </c>
      <c r="FS16" s="46">
        <v>8.3957736054114562</v>
      </c>
      <c r="FT16" s="46">
        <v>8.782154691881825</v>
      </c>
      <c r="FU16" s="46">
        <v>5.9177167560596349</v>
      </c>
      <c r="FV16" s="46">
        <v>8.8506823771320065</v>
      </c>
      <c r="FW16" s="46">
        <v>7.4573548889544732</v>
      </c>
      <c r="FX16" s="46">
        <v>9.5914795115456215</v>
      </c>
      <c r="FY16" s="46">
        <v>9.9954769184584826</v>
      </c>
      <c r="FZ16" s="46">
        <v>6.6038282457876551</v>
      </c>
      <c r="GA16" s="46">
        <v>8.991685217600617</v>
      </c>
      <c r="GB16" s="46">
        <v>8.0715212181920748</v>
      </c>
      <c r="GC16" s="46">
        <v>7.7658902498190274</v>
      </c>
      <c r="GD16" s="46">
        <v>9.3221841259830001</v>
      </c>
      <c r="GE16" s="46">
        <v>7.5193803484895367</v>
      </c>
      <c r="GF16" s="46">
        <v>4.0937327823772458</v>
      </c>
      <c r="GG16" s="51">
        <v>3.7135115899010409</v>
      </c>
      <c r="GH16" s="51">
        <v>5.1994591279575797</v>
      </c>
      <c r="GI16" s="51">
        <v>4.1396471901476799</v>
      </c>
      <c r="GJ16" s="51">
        <v>5.8752517231045802</v>
      </c>
      <c r="GK16" s="51">
        <v>5.58600845082207</v>
      </c>
      <c r="GL16" s="51">
        <v>6.0271361621924502</v>
      </c>
      <c r="GM16" s="51">
        <v>5.6685983271588398</v>
      </c>
      <c r="GN16" s="51">
        <v>4.0590551777484096</v>
      </c>
      <c r="GO16" s="56">
        <v>7.39349523046676</v>
      </c>
      <c r="GP16" s="56">
        <v>6.24390849166344</v>
      </c>
      <c r="GQ16" s="56">
        <v>5.9944559782264699</v>
      </c>
      <c r="GR16" s="56">
        <v>5.0364147640236299</v>
      </c>
      <c r="GS16" s="56">
        <v>4.6754406395568404</v>
      </c>
      <c r="GT16" s="56">
        <v>4.4552455428976003</v>
      </c>
      <c r="GU16" s="56">
        <v>3.8397616251761399</v>
      </c>
      <c r="GV16" s="56">
        <v>4.4304815900944901</v>
      </c>
      <c r="GW16" s="56">
        <v>4.9440969743851202</v>
      </c>
      <c r="GX16" s="56">
        <v>4.7493241568441302</v>
      </c>
      <c r="GY16" s="56">
        <v>4.7493241568441302</v>
      </c>
      <c r="GZ16" s="56">
        <v>6.9460972521804401</v>
      </c>
      <c r="HA16" s="56">
        <v>6.28576043303649</v>
      </c>
      <c r="HB16" s="56">
        <v>5.2033768562735503</v>
      </c>
      <c r="HC16" s="56">
        <v>5.0228262359456899</v>
      </c>
      <c r="HD16" s="56">
        <v>5.0094588296783504</v>
      </c>
      <c r="HE16" s="56">
        <v>5.7400872723896601</v>
      </c>
      <c r="HF16" s="56">
        <v>6.7413822389070104</v>
      </c>
      <c r="HG16" s="56">
        <v>3.1062774417562702</v>
      </c>
      <c r="HH16" s="56">
        <v>3.3855875822694501</v>
      </c>
      <c r="HI16" s="56">
        <v>3.9397327771352999</v>
      </c>
      <c r="HJ16" s="56">
        <v>3.9135210776913301</v>
      </c>
      <c r="HK16" s="56">
        <v>3.6487173988640298</v>
      </c>
      <c r="HL16" s="56">
        <v>4.0542377622377597</v>
      </c>
      <c r="HM16" s="56">
        <v>2.9249971111928099</v>
      </c>
      <c r="HN16" s="56">
        <v>4.1562121901296303</v>
      </c>
      <c r="HO16" s="56">
        <v>4.1156224311694203</v>
      </c>
      <c r="HP16" s="56">
        <v>8.3520459047964799</v>
      </c>
      <c r="HQ16" s="56">
        <v>9.0528972065245892</v>
      </c>
      <c r="HR16" s="56">
        <v>3.7121135461097201</v>
      </c>
      <c r="HS16" s="56">
        <v>3.6604552534692698</v>
      </c>
      <c r="HT16" s="56">
        <v>3.7200551423441901</v>
      </c>
      <c r="HU16" s="56">
        <v>4.0902152283200701</v>
      </c>
      <c r="HV16" s="56">
        <v>3.9263851191041099</v>
      </c>
      <c r="HW16" s="56">
        <v>2.8759851911892</v>
      </c>
      <c r="HX16" s="56">
        <v>4.1912712754780399</v>
      </c>
      <c r="HY16" s="56">
        <v>4.78526725934874</v>
      </c>
      <c r="HZ16" s="56">
        <v>3.7668348042891999</v>
      </c>
      <c r="IA16" s="56">
        <v>4.7993159984105702</v>
      </c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</row>
    <row r="17" spans="1:451">
      <c r="A17" s="20" t="s">
        <v>246</v>
      </c>
      <c r="B17" s="33" t="s">
        <v>204</v>
      </c>
      <c r="C17" s="20" t="s">
        <v>246</v>
      </c>
      <c r="D17" s="53">
        <v>5.89</v>
      </c>
      <c r="E17" s="46">
        <v>5.0999999999999996</v>
      </c>
      <c r="F17" s="46">
        <v>5.71</v>
      </c>
      <c r="G17" s="46">
        <v>4.96</v>
      </c>
      <c r="H17" s="46">
        <v>3.77</v>
      </c>
      <c r="I17" s="46">
        <v>5.9</v>
      </c>
      <c r="J17" s="46">
        <v>6.05</v>
      </c>
      <c r="K17" s="46">
        <v>4.1100000000000003</v>
      </c>
      <c r="L17" s="46">
        <v>4.26</v>
      </c>
      <c r="M17" s="46">
        <v>4.37</v>
      </c>
      <c r="N17" s="46">
        <v>5.1735568091054311</v>
      </c>
      <c r="O17" s="46">
        <v>5.4319422498566832</v>
      </c>
      <c r="P17" s="46">
        <v>5.5849978118486536</v>
      </c>
      <c r="Q17" s="46">
        <v>7.3719052097678954</v>
      </c>
      <c r="R17" s="46">
        <v>4.833141904786137</v>
      </c>
      <c r="S17" s="46">
        <v>5.2032060035676899</v>
      </c>
      <c r="T17" s="46">
        <v>5.4461178748278041</v>
      </c>
      <c r="U17" s="46">
        <v>10.755280274986779</v>
      </c>
      <c r="V17" s="46">
        <v>6.6753835993395709</v>
      </c>
      <c r="W17" s="46">
        <v>5.2217960271963744</v>
      </c>
      <c r="X17" s="46">
        <v>5.7955040847472841</v>
      </c>
      <c r="Y17" s="46">
        <v>6.6224766213323472</v>
      </c>
      <c r="Z17" s="46">
        <v>6.10449234284222</v>
      </c>
      <c r="AA17" s="46">
        <v>6.3495465600253302</v>
      </c>
      <c r="AB17" s="46">
        <v>6.3943886331993331</v>
      </c>
      <c r="AC17" s="46">
        <v>7.89672176453234</v>
      </c>
      <c r="AD17" s="46">
        <v>7.8615985507591839</v>
      </c>
      <c r="AE17" s="46">
        <v>7.8565376391618349</v>
      </c>
      <c r="AF17" s="46">
        <v>8.4584769596536002</v>
      </c>
      <c r="AG17" s="46">
        <v>8.1138966067771712</v>
      </c>
      <c r="AH17" s="46">
        <v>7.8881981876188707</v>
      </c>
      <c r="AI17" s="46">
        <v>7.7122093424890901</v>
      </c>
      <c r="AJ17" s="46">
        <v>6.7506125676081083</v>
      </c>
      <c r="AK17" s="46">
        <v>7.7662165640996914</v>
      </c>
      <c r="AL17" s="46">
        <v>7.4995788513445998</v>
      </c>
      <c r="AM17" s="46">
        <v>5.8411695712300729</v>
      </c>
      <c r="AN17" s="46">
        <v>7.3085340474246054</v>
      </c>
      <c r="AO17" s="46">
        <v>8.5762949123214938</v>
      </c>
      <c r="AP17" s="46">
        <v>8.1481295495630448</v>
      </c>
      <c r="AQ17" s="46">
        <v>8.4777486765394006</v>
      </c>
      <c r="AR17" s="46">
        <v>8.5603692662485713</v>
      </c>
      <c r="AS17" s="46">
        <v>8.9730771066723367</v>
      </c>
      <c r="AT17" s="46">
        <v>8.8825932006208532</v>
      </c>
      <c r="AU17" s="46">
        <v>9.2592222029421887</v>
      </c>
      <c r="AV17" s="46">
        <v>8.9036919134713575</v>
      </c>
      <c r="AW17" s="46">
        <v>8.8431540369171397</v>
      </c>
      <c r="AX17" s="46">
        <v>9.0958782819044668</v>
      </c>
      <c r="AY17" s="46">
        <v>9.1394719864407854</v>
      </c>
      <c r="AZ17" s="46">
        <v>9.307644696034389</v>
      </c>
      <c r="BA17" s="46">
        <v>9.0080906903778875</v>
      </c>
      <c r="BB17" s="46">
        <v>10.148060097285976</v>
      </c>
      <c r="BC17" s="46">
        <v>9.6919404317714264</v>
      </c>
      <c r="BD17" s="46">
        <v>9.5717172112778925</v>
      </c>
      <c r="BE17" s="46">
        <v>8.6783662411831823</v>
      </c>
      <c r="BF17" s="46">
        <v>6.7354249394647674</v>
      </c>
      <c r="BG17" s="46">
        <v>8.4235221085648551</v>
      </c>
      <c r="BH17" s="46">
        <v>7.9933150390491985</v>
      </c>
      <c r="BI17" s="46">
        <v>9.2336363550500984</v>
      </c>
      <c r="BJ17" s="46">
        <v>9.7820483094358135</v>
      </c>
      <c r="BK17" s="46">
        <v>9.8553158985182652</v>
      </c>
      <c r="BL17" s="46">
        <v>7.1363336581173344</v>
      </c>
      <c r="BM17" s="46">
        <v>6.2725125031597218</v>
      </c>
      <c r="BN17" s="46">
        <v>4.7926818702238068</v>
      </c>
      <c r="BO17" s="46">
        <v>4.8002254242257409</v>
      </c>
      <c r="BP17" s="46">
        <v>4.7911564394694581</v>
      </c>
      <c r="BQ17" s="46">
        <v>4.0256394528272184</v>
      </c>
      <c r="BR17" s="46">
        <v>4.7244311571451361</v>
      </c>
      <c r="BS17" s="46">
        <v>8.3381464455590901</v>
      </c>
      <c r="BT17" s="46">
        <v>8.2319780959196542</v>
      </c>
      <c r="BU17" s="46">
        <v>5.3871162388419984</v>
      </c>
      <c r="BV17" s="46">
        <v>5.6793940366851761</v>
      </c>
      <c r="BW17" s="46">
        <v>5.9058262200995788</v>
      </c>
      <c r="BX17" s="46">
        <v>6.7741020359197339</v>
      </c>
      <c r="BY17" s="46">
        <v>4.8249043440344472</v>
      </c>
      <c r="BZ17" s="46">
        <v>4.5813542333567741</v>
      </c>
      <c r="CA17" s="46">
        <v>5.3051454170834056</v>
      </c>
      <c r="CB17" s="46">
        <v>4.5756189464818648</v>
      </c>
      <c r="CC17" s="46">
        <v>5.2249257968424416</v>
      </c>
      <c r="CD17" s="46">
        <v>5.4013743802050733</v>
      </c>
      <c r="CE17" s="46">
        <v>4.5909616849759072</v>
      </c>
      <c r="CF17" s="46">
        <v>5.3888661291229782</v>
      </c>
      <c r="CG17" s="46">
        <v>4.5532912300979218</v>
      </c>
      <c r="CH17" s="46">
        <v>5.1408485271335396</v>
      </c>
      <c r="CI17" s="46">
        <v>5.991518651757322</v>
      </c>
      <c r="CJ17" s="46">
        <v>7.3662232957989673</v>
      </c>
      <c r="CK17" s="46">
        <v>5.8932152562648916</v>
      </c>
      <c r="CL17" s="46">
        <v>5.8055230130722206</v>
      </c>
      <c r="CM17" s="46">
        <v>5.5540768358111459</v>
      </c>
      <c r="CN17" s="46">
        <v>6.0671490965009385</v>
      </c>
      <c r="CO17" s="46">
        <v>4.5048745005155588</v>
      </c>
      <c r="CP17" s="46">
        <v>4.9572447013095378</v>
      </c>
      <c r="CQ17" s="46">
        <v>4.5050449562205914</v>
      </c>
      <c r="CR17" s="46">
        <v>6.3628777969500101</v>
      </c>
      <c r="CS17" s="46">
        <v>5.4363518943781797</v>
      </c>
      <c r="CT17" s="46">
        <v>6.36579097697122</v>
      </c>
      <c r="CU17" s="46">
        <v>6.4073626493205014</v>
      </c>
      <c r="CV17" s="46">
        <v>6.3483584807593862</v>
      </c>
      <c r="CW17" s="46">
        <v>6.3175543445060693</v>
      </c>
      <c r="CX17" s="46">
        <v>6.6797528947057296</v>
      </c>
      <c r="CY17" s="46">
        <v>6.5916494996329975</v>
      </c>
      <c r="CZ17" s="46">
        <v>6.4771437918397021</v>
      </c>
      <c r="DA17" s="46">
        <v>6.4941664165735595</v>
      </c>
      <c r="DB17" s="46">
        <v>4.6055544933365455</v>
      </c>
      <c r="DC17" s="46">
        <v>4.2976489479919904</v>
      </c>
      <c r="DD17" s="46">
        <v>4.3044827419116825</v>
      </c>
      <c r="DE17" s="46">
        <v>4.394672217034012</v>
      </c>
      <c r="DF17" s="46">
        <v>5.414233996742051</v>
      </c>
      <c r="DG17" s="46">
        <v>5.7328312027824335</v>
      </c>
      <c r="DH17" s="46">
        <v>5.7718240231924147</v>
      </c>
      <c r="DI17" s="46">
        <v>5.8542408280554152</v>
      </c>
      <c r="DJ17" s="46">
        <v>5.5983136916209482</v>
      </c>
      <c r="DK17" s="46">
        <v>5.6348029431048294</v>
      </c>
      <c r="DL17" s="46">
        <v>5.7856215810967964</v>
      </c>
      <c r="DM17" s="46">
        <v>5.5068783221871973</v>
      </c>
      <c r="DN17" s="46">
        <v>5.4659493883039634</v>
      </c>
      <c r="DO17" s="46">
        <v>5.4716367988731998</v>
      </c>
      <c r="DP17" s="46">
        <v>5.189792716096969</v>
      </c>
      <c r="DQ17" s="46">
        <v>5.0412805622462171</v>
      </c>
      <c r="DR17" s="46">
        <v>4.7440900930324617</v>
      </c>
      <c r="DS17" s="46">
        <v>4.6695664017388818</v>
      </c>
      <c r="DT17" s="46">
        <v>4.606099774599568</v>
      </c>
      <c r="DU17" s="46">
        <v>4.5458598875152125</v>
      </c>
      <c r="DV17" s="46">
        <v>4.7300000000000004</v>
      </c>
      <c r="DW17" s="46">
        <v>5.3148431984208226</v>
      </c>
      <c r="DX17" s="46">
        <v>5.7389095594626323</v>
      </c>
      <c r="DY17" s="46">
        <v>5.8685727387936444</v>
      </c>
      <c r="DZ17" s="46">
        <v>7.4809614271079177</v>
      </c>
      <c r="EA17" s="46">
        <v>7.983438115465284</v>
      </c>
      <c r="EB17" s="46">
        <v>7.5590725543832242</v>
      </c>
      <c r="EC17" s="46">
        <v>7.0123373817497141</v>
      </c>
      <c r="ED17" s="46">
        <v>7.2424539257763225</v>
      </c>
      <c r="EE17" s="46">
        <v>5.6622725427557832</v>
      </c>
      <c r="EF17" s="46">
        <v>5.5939435519410292</v>
      </c>
      <c r="EG17" s="46">
        <v>8.0497382802212289</v>
      </c>
      <c r="EH17" s="46">
        <v>5.1607081599403726</v>
      </c>
      <c r="EI17" s="46">
        <v>8.2038999261161187</v>
      </c>
      <c r="EJ17" s="46">
        <v>4.4281677554245231</v>
      </c>
      <c r="EK17" s="46">
        <v>5.5963840677055332</v>
      </c>
      <c r="EL17" s="46">
        <v>5.6858722538786708</v>
      </c>
      <c r="EM17" s="46">
        <v>5.632650914009008</v>
      </c>
      <c r="EN17" s="46">
        <v>5.2939634797541064</v>
      </c>
      <c r="EO17" s="46">
        <v>5.8464197003725191</v>
      </c>
      <c r="EP17" s="46">
        <v>4.9740770748029171</v>
      </c>
      <c r="EQ17" s="46">
        <v>5.0807105914861408</v>
      </c>
      <c r="ER17" s="46">
        <v>5.0774283060516616</v>
      </c>
      <c r="ES17" s="46">
        <v>10.647914570215512</v>
      </c>
      <c r="ET17" s="46">
        <v>9.5311332770257255</v>
      </c>
      <c r="EU17" s="46">
        <v>7.4261738401328232</v>
      </c>
      <c r="EV17" s="46">
        <v>12.035156505900575</v>
      </c>
      <c r="EW17" s="46">
        <v>11.852358248875753</v>
      </c>
      <c r="EX17" s="46">
        <v>10.311684380892759</v>
      </c>
      <c r="EY17" s="46">
        <v>9.7767888343190368</v>
      </c>
      <c r="EZ17" s="46">
        <v>8.4580841958292883</v>
      </c>
      <c r="FA17" s="46">
        <v>8.1392806446902561</v>
      </c>
      <c r="FB17" s="46">
        <v>8.0696278840026672</v>
      </c>
      <c r="FC17" s="46">
        <v>3.4163556171746796</v>
      </c>
      <c r="FD17" s="46">
        <v>3.2927870483454527</v>
      </c>
      <c r="FE17" s="46">
        <v>6.1677297238010427</v>
      </c>
      <c r="FF17" s="46">
        <v>6.9048457039123354</v>
      </c>
      <c r="FG17" s="46">
        <v>6.8678935332988384</v>
      </c>
      <c r="FH17" s="46">
        <v>5.9094653435904689</v>
      </c>
      <c r="FI17" s="46">
        <v>5.6263366502178043</v>
      </c>
      <c r="FJ17" s="46">
        <v>4.577347677303429</v>
      </c>
      <c r="FK17" s="46">
        <v>3.6481746766940502</v>
      </c>
      <c r="FL17" s="46">
        <v>3.5016370566966182</v>
      </c>
      <c r="FM17" s="46">
        <v>4.2680758312583427</v>
      </c>
      <c r="FN17" s="46">
        <v>4.2356185009675862</v>
      </c>
      <c r="FO17" s="46">
        <v>3.9591233472314227</v>
      </c>
      <c r="FP17" s="46">
        <v>4.1627608783167398</v>
      </c>
      <c r="FQ17" s="46">
        <v>5.5580222806275721</v>
      </c>
      <c r="FR17" s="46">
        <v>4.8125797232846592</v>
      </c>
      <c r="FS17" s="46">
        <v>4.6534293564108093</v>
      </c>
      <c r="FT17" s="46">
        <v>1.7365433881085035</v>
      </c>
      <c r="FU17" s="46">
        <v>2.2987788549058497</v>
      </c>
      <c r="FV17" s="46">
        <v>2.3145991764239584</v>
      </c>
      <c r="FW17" s="46">
        <v>2.6711053975229953</v>
      </c>
      <c r="FX17" s="46">
        <v>2.5495939989680387</v>
      </c>
      <c r="FY17" s="46">
        <v>3.1018882802968122</v>
      </c>
      <c r="FZ17" s="46">
        <v>3.49761494326341</v>
      </c>
      <c r="GA17" s="46">
        <v>3.0244829725663305</v>
      </c>
      <c r="GB17" s="46">
        <v>3.1304642277925154</v>
      </c>
      <c r="GC17" s="46">
        <v>3.0249257820583395</v>
      </c>
      <c r="GD17" s="46">
        <v>4.3122714523054899</v>
      </c>
      <c r="GE17" s="46">
        <v>3.2841560085471619</v>
      </c>
      <c r="GF17" s="46">
        <v>4.9087372328660051</v>
      </c>
      <c r="GG17" s="51">
        <v>2.3087803700682423</v>
      </c>
      <c r="GH17" s="51">
        <v>3.2301756747234198</v>
      </c>
      <c r="GI17" s="51">
        <v>4.4681817797803403</v>
      </c>
      <c r="GJ17" s="51">
        <v>4.66598891305226</v>
      </c>
      <c r="GK17" s="51">
        <v>5.1563375788638899</v>
      </c>
      <c r="GL17" s="51">
        <v>5.2534059544068796</v>
      </c>
      <c r="GM17" s="51">
        <v>5.7723935288362203</v>
      </c>
      <c r="GN17" s="51">
        <v>5.4276193901916399</v>
      </c>
      <c r="GO17" s="56">
        <v>4.75310559885268</v>
      </c>
      <c r="GP17" s="56">
        <v>4.8280064757813399</v>
      </c>
      <c r="GQ17" s="56">
        <v>4.81408533321438</v>
      </c>
      <c r="GR17" s="56">
        <v>3.6413774470373999</v>
      </c>
      <c r="GS17" s="56">
        <v>2.5905064185725499</v>
      </c>
      <c r="GT17" s="56">
        <v>2.6142989889486699</v>
      </c>
      <c r="GU17" s="56">
        <v>2.5814202836269899</v>
      </c>
      <c r="GV17" s="56">
        <v>2.2813299907684801</v>
      </c>
      <c r="GW17" s="56">
        <v>4.74777214914665</v>
      </c>
      <c r="GX17" s="56">
        <v>3.81207542857143</v>
      </c>
      <c r="GY17" s="56">
        <v>3.81207542857143</v>
      </c>
      <c r="GZ17" s="56">
        <v>8.9561580647200305</v>
      </c>
      <c r="HA17" s="56">
        <v>5.9320799582877397</v>
      </c>
      <c r="HB17" s="56">
        <v>4.2653700857328296</v>
      </c>
      <c r="HC17" s="56">
        <v>3.7460910353340502</v>
      </c>
      <c r="HD17" s="56">
        <v>4.0563350649350598</v>
      </c>
      <c r="HE17" s="56">
        <v>5.0647883216357403</v>
      </c>
      <c r="HF17" s="56">
        <v>4.6616830633284199</v>
      </c>
      <c r="HG17" s="56">
        <v>5.1071923640073003</v>
      </c>
      <c r="HH17" s="56">
        <v>3.7461179343559401</v>
      </c>
      <c r="HI17" s="56">
        <v>3.66352057296384</v>
      </c>
      <c r="HJ17" s="56">
        <v>2.7171967486452702</v>
      </c>
      <c r="HK17" s="56">
        <v>3.3384642073575201</v>
      </c>
      <c r="HL17" s="56">
        <v>3.2050971742963199</v>
      </c>
      <c r="HM17" s="56">
        <v>2.2202781763442299</v>
      </c>
      <c r="HN17" s="56">
        <v>2.4770227510983398</v>
      </c>
      <c r="HO17" s="56">
        <v>3.15361487490634</v>
      </c>
      <c r="HP17" s="56">
        <v>3.7862679280326401</v>
      </c>
      <c r="HQ17" s="56">
        <v>3.3583153979253502</v>
      </c>
      <c r="HR17" s="56">
        <v>3.7282321226040902</v>
      </c>
      <c r="HS17" s="56">
        <v>3.7432402649431098</v>
      </c>
      <c r="HT17" s="56">
        <v>4.0714655562596196</v>
      </c>
      <c r="HU17" s="56">
        <v>3.47501210640623</v>
      </c>
      <c r="HV17" s="56">
        <v>3.2769613246912401</v>
      </c>
      <c r="HW17" s="56">
        <v>3.96858802864773</v>
      </c>
      <c r="HX17" s="56">
        <v>4.2788680239576804</v>
      </c>
      <c r="HY17" s="56">
        <v>4.4906126842017002</v>
      </c>
      <c r="HZ17" s="56">
        <v>4.1248953891675004</v>
      </c>
      <c r="IA17" s="56">
        <v>4.5054796438686404</v>
      </c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</row>
    <row r="18" spans="1:451">
      <c r="A18" s="20" t="s">
        <v>247</v>
      </c>
      <c r="B18" s="33" t="s">
        <v>205</v>
      </c>
      <c r="C18" s="20" t="s">
        <v>247</v>
      </c>
      <c r="D18" s="53">
        <v>5.46</v>
      </c>
      <c r="E18" s="46">
        <v>5.26</v>
      </c>
      <c r="F18" s="46">
        <v>5.17</v>
      </c>
      <c r="G18" s="46">
        <v>4.93</v>
      </c>
      <c r="H18" s="46">
        <v>5.75</v>
      </c>
      <c r="I18" s="46">
        <v>6.01</v>
      </c>
      <c r="J18" s="46">
        <v>6.12</v>
      </c>
      <c r="K18" s="46">
        <v>6</v>
      </c>
      <c r="L18" s="46">
        <v>6.9</v>
      </c>
      <c r="M18" s="46">
        <v>7.35</v>
      </c>
      <c r="N18" s="46">
        <v>7.2317561608300913</v>
      </c>
      <c r="O18" s="46">
        <v>7.7923213064729255</v>
      </c>
      <c r="P18" s="46">
        <v>7.2784480559361269</v>
      </c>
      <c r="Q18" s="46">
        <v>7.3050304363979306</v>
      </c>
      <c r="R18" s="46">
        <v>7.4175906144765911</v>
      </c>
      <c r="S18" s="46">
        <v>7.2924383103304065</v>
      </c>
      <c r="T18" s="46">
        <v>6.4159808494966857</v>
      </c>
      <c r="U18" s="46">
        <v>7.1211887962369058</v>
      </c>
      <c r="V18" s="46">
        <v>9.2025935329986339</v>
      </c>
      <c r="W18" s="46">
        <v>9.8433250316104068</v>
      </c>
      <c r="X18" s="46">
        <v>9.0059774024326984</v>
      </c>
      <c r="Y18" s="46">
        <v>8.5082192812067667</v>
      </c>
      <c r="Z18" s="46">
        <v>8.5718005032988263</v>
      </c>
      <c r="AA18" s="46">
        <v>8.4802431731948644</v>
      </c>
      <c r="AB18" s="46">
        <v>7.4899729743343624</v>
      </c>
      <c r="AC18" s="46">
        <v>7.6387368133255364</v>
      </c>
      <c r="AD18" s="46">
        <v>7.634243392765006</v>
      </c>
      <c r="AE18" s="46">
        <v>7.7697583351641279</v>
      </c>
      <c r="AF18" s="46">
        <v>8.7551002389635713</v>
      </c>
      <c r="AG18" s="46">
        <v>9.5965435437098634</v>
      </c>
      <c r="AH18" s="46">
        <v>9.5323657426686275</v>
      </c>
      <c r="AI18" s="46">
        <v>9.3802050495834646</v>
      </c>
      <c r="AJ18" s="46">
        <v>9.2262554875702794</v>
      </c>
      <c r="AK18" s="46">
        <v>9.4196214511635006</v>
      </c>
      <c r="AL18" s="46">
        <v>9.2922159949199514</v>
      </c>
      <c r="AM18" s="46">
        <v>9.1605412094852667</v>
      </c>
      <c r="AN18" s="46">
        <v>9.5173287044320034</v>
      </c>
      <c r="AO18" s="46">
        <v>9.5353800706710299</v>
      </c>
      <c r="AP18" s="46">
        <v>10.309689467112769</v>
      </c>
      <c r="AQ18" s="46">
        <v>10.264058440689773</v>
      </c>
      <c r="AR18" s="46">
        <v>10.014150261208147</v>
      </c>
      <c r="AS18" s="46">
        <v>9.9786410901963247</v>
      </c>
      <c r="AT18" s="46">
        <v>10.178033138736167</v>
      </c>
      <c r="AU18" s="46">
        <v>9.1296435185583427</v>
      </c>
      <c r="AV18" s="46">
        <v>10.146705274393144</v>
      </c>
      <c r="AW18" s="46">
        <v>10.546011588314197</v>
      </c>
      <c r="AX18" s="46">
        <v>10.461846860439872</v>
      </c>
      <c r="AY18" s="46">
        <v>10.07525243516454</v>
      </c>
      <c r="AZ18" s="46">
        <v>9.6651962553024262</v>
      </c>
      <c r="BA18" s="46">
        <v>9.6628233787137781</v>
      </c>
      <c r="BB18" s="46">
        <v>9.446846099593369</v>
      </c>
      <c r="BC18" s="46">
        <v>8.567155321650235</v>
      </c>
      <c r="BD18" s="46">
        <v>8.9326496688362003</v>
      </c>
      <c r="BE18" s="46">
        <v>8.9212350348830221</v>
      </c>
      <c r="BF18" s="46">
        <v>8.9898552315885532</v>
      </c>
      <c r="BG18" s="46">
        <v>8.8507404685211988</v>
      </c>
      <c r="BH18" s="46">
        <v>9.1733903101047201</v>
      </c>
      <c r="BI18" s="46">
        <v>9.2119402585047006</v>
      </c>
      <c r="BJ18" s="46">
        <v>9.7527301123419274</v>
      </c>
      <c r="BK18" s="46">
        <v>10.023250552766612</v>
      </c>
      <c r="BL18" s="46">
        <v>9.3749235503900969</v>
      </c>
      <c r="BM18" s="46">
        <v>8.653303084610398</v>
      </c>
      <c r="BN18" s="46">
        <v>8.7115619343435533</v>
      </c>
      <c r="BO18" s="46">
        <v>8.8255036097043913</v>
      </c>
      <c r="BP18" s="46">
        <v>8.4976632334022195</v>
      </c>
      <c r="BQ18" s="46">
        <v>8.2009268406419356</v>
      </c>
      <c r="BR18" s="46">
        <v>8.004337768511876</v>
      </c>
      <c r="BS18" s="46">
        <v>8.1233832312199699</v>
      </c>
      <c r="BT18" s="46">
        <v>8.6403304769316502</v>
      </c>
      <c r="BU18" s="46">
        <v>8.1850685626969319</v>
      </c>
      <c r="BV18" s="46">
        <v>8.1908059618460385</v>
      </c>
      <c r="BW18" s="46">
        <v>8.1829853566811632</v>
      </c>
      <c r="BX18" s="46">
        <v>8.0692492267359626</v>
      </c>
      <c r="BY18" s="46">
        <v>7.9563015439451759</v>
      </c>
      <c r="BZ18" s="46">
        <v>7.9596307205149985</v>
      </c>
      <c r="CA18" s="46">
        <v>7.8268183562332325</v>
      </c>
      <c r="CB18" s="46">
        <v>8.098058816493225</v>
      </c>
      <c r="CC18" s="46">
        <v>7.9679301104049287</v>
      </c>
      <c r="CD18" s="46">
        <v>7.3258837096008342</v>
      </c>
      <c r="CE18" s="46">
        <v>6.9779677397125806</v>
      </c>
      <c r="CF18" s="46">
        <v>6.2996068981766227</v>
      </c>
      <c r="CG18" s="46">
        <v>6.7500725716684391</v>
      </c>
      <c r="CH18" s="46">
        <v>7.249091666618777</v>
      </c>
      <c r="CI18" s="46">
        <v>7.5549176343009474</v>
      </c>
      <c r="CJ18" s="46">
        <v>8.1024511745887455</v>
      </c>
      <c r="CK18" s="46">
        <v>7.9952809065703194</v>
      </c>
      <c r="CL18" s="46">
        <v>8.0479338604054842</v>
      </c>
      <c r="CM18" s="46">
        <v>6.7602912413475549</v>
      </c>
      <c r="CN18" s="46">
        <v>6.4091339142308703</v>
      </c>
      <c r="CO18" s="46">
        <v>6.4364236555810441</v>
      </c>
      <c r="CP18" s="46">
        <v>7.3772636660383428</v>
      </c>
      <c r="CQ18" s="46">
        <v>7.4025732956332586</v>
      </c>
      <c r="CR18" s="46">
        <v>7.5034829493918638</v>
      </c>
      <c r="CS18" s="46">
        <v>6.9139921109489819</v>
      </c>
      <c r="CT18" s="46">
        <v>6.919215636844406</v>
      </c>
      <c r="CU18" s="46">
        <v>6.8766349309748698</v>
      </c>
      <c r="CV18" s="46">
        <v>7.6983145345468751</v>
      </c>
      <c r="CW18" s="46">
        <v>7.7992254114656436</v>
      </c>
      <c r="CX18" s="46">
        <v>7.9433362744522444</v>
      </c>
      <c r="CY18" s="46">
        <v>7.8208392437011467</v>
      </c>
      <c r="CZ18" s="46">
        <v>6.6809575470416878</v>
      </c>
      <c r="DA18" s="46">
        <v>6.5417255009709709</v>
      </c>
      <c r="DB18" s="46">
        <v>6.646250060671866</v>
      </c>
      <c r="DC18" s="46">
        <v>6.2208725940997747</v>
      </c>
      <c r="DD18" s="46">
        <v>6.0410807077371675</v>
      </c>
      <c r="DE18" s="46">
        <v>6.0044094499753706</v>
      </c>
      <c r="DF18" s="46">
        <v>5.9860831211283232</v>
      </c>
      <c r="DG18" s="46">
        <v>5.9941423584936944</v>
      </c>
      <c r="DH18" s="46">
        <v>6.2335210729054378</v>
      </c>
      <c r="DI18" s="46">
        <v>6.3602603841398873</v>
      </c>
      <c r="DJ18" s="46">
        <v>6.8925659857845041</v>
      </c>
      <c r="DK18" s="46">
        <v>7.4148993036224704</v>
      </c>
      <c r="DL18" s="46">
        <v>6.9961879552921991</v>
      </c>
      <c r="DM18" s="46">
        <v>6.5752453873776835</v>
      </c>
      <c r="DN18" s="46">
        <v>5.8857834335020875</v>
      </c>
      <c r="DO18" s="46">
        <v>5.8624556206236633</v>
      </c>
      <c r="DP18" s="46">
        <v>5.7972656326871004</v>
      </c>
      <c r="DQ18" s="46">
        <v>6.0349998095827395</v>
      </c>
      <c r="DR18" s="46">
        <v>6.2030027707874345</v>
      </c>
      <c r="DS18" s="46">
        <v>6.235661078839855</v>
      </c>
      <c r="DT18" s="46">
        <v>6.0439927090048275</v>
      </c>
      <c r="DU18" s="46">
        <v>6.7251764853335994</v>
      </c>
      <c r="DV18" s="46">
        <v>6.82</v>
      </c>
      <c r="DW18" s="46">
        <v>7.0414959209905801</v>
      </c>
      <c r="DX18" s="46">
        <v>7.2536684123298762</v>
      </c>
      <c r="DY18" s="46">
        <v>7.781229524339409</v>
      </c>
      <c r="DZ18" s="46">
        <v>9.2847457016343444</v>
      </c>
      <c r="EA18" s="46">
        <v>10.048203401108193</v>
      </c>
      <c r="EB18" s="46">
        <v>9.9726567092586382</v>
      </c>
      <c r="EC18" s="46">
        <v>8.7418872513025043</v>
      </c>
      <c r="ED18" s="46">
        <v>9.1843171199604647</v>
      </c>
      <c r="EE18" s="46">
        <v>9.9054720143270139</v>
      </c>
      <c r="EF18" s="46">
        <v>9.2540196945255193</v>
      </c>
      <c r="EG18" s="46">
        <v>8.5813182425859811</v>
      </c>
      <c r="EH18" s="46">
        <v>8.2445880924407149</v>
      </c>
      <c r="EI18" s="46">
        <v>11.976629805311482</v>
      </c>
      <c r="EJ18" s="46">
        <v>12.063745399817648</v>
      </c>
      <c r="EK18" s="46">
        <v>12.735621564263877</v>
      </c>
      <c r="EL18" s="46">
        <v>13.353334770604866</v>
      </c>
      <c r="EM18" s="46">
        <v>13.71371810866991</v>
      </c>
      <c r="EN18" s="46">
        <v>13.322163346909106</v>
      </c>
      <c r="EO18" s="46">
        <v>12.338199377890774</v>
      </c>
      <c r="EP18" s="46">
        <v>11.878570423873137</v>
      </c>
      <c r="EQ18" s="46">
        <v>11.617367177416311</v>
      </c>
      <c r="ER18" s="46">
        <v>11.39839769270406</v>
      </c>
      <c r="ES18" s="46">
        <v>11.468189900394753</v>
      </c>
      <c r="ET18" s="46">
        <v>9.962363236563391</v>
      </c>
      <c r="EU18" s="46">
        <v>10.933366156353468</v>
      </c>
      <c r="EV18" s="46">
        <v>12.519491276196529</v>
      </c>
      <c r="EW18" s="46">
        <v>11.188057253894703</v>
      </c>
      <c r="EX18" s="46">
        <v>10.536119295067833</v>
      </c>
      <c r="EY18" s="46">
        <v>9.6801043597201577</v>
      </c>
      <c r="EZ18" s="46">
        <v>9.5033843107245932</v>
      </c>
      <c r="FA18" s="46">
        <v>10.393991745768627</v>
      </c>
      <c r="FB18" s="46">
        <v>9.7549079916137682</v>
      </c>
      <c r="FC18" s="46">
        <v>9.3386893740557397</v>
      </c>
      <c r="FD18" s="46">
        <v>8.3118312421433878</v>
      </c>
      <c r="FE18" s="46">
        <v>7.7711532573587219</v>
      </c>
      <c r="FF18" s="46">
        <v>7.2351038604275333</v>
      </c>
      <c r="FG18" s="46">
        <v>7.5131515266858742</v>
      </c>
      <c r="FH18" s="46">
        <v>7.6090859335386858</v>
      </c>
      <c r="FI18" s="46">
        <v>7.6787090816637633</v>
      </c>
      <c r="FJ18" s="46">
        <v>6.2547252069878105</v>
      </c>
      <c r="FK18" s="46">
        <v>5.6887490790517026</v>
      </c>
      <c r="FL18" s="46">
        <v>5.8351693731834766</v>
      </c>
      <c r="FM18" s="46">
        <v>6.1919729582312426</v>
      </c>
      <c r="FN18" s="46">
        <v>5.9078368533968755</v>
      </c>
      <c r="FO18" s="46">
        <v>5.7931943921308164</v>
      </c>
      <c r="FP18" s="46">
        <v>6.0611503428075784</v>
      </c>
      <c r="FQ18" s="46">
        <v>6.2386276248705714</v>
      </c>
      <c r="FR18" s="46">
        <v>6.1962533885836448</v>
      </c>
      <c r="FS18" s="46">
        <v>6.2770563788653169</v>
      </c>
      <c r="FT18" s="46">
        <v>6.1849337285782431</v>
      </c>
      <c r="FU18" s="46">
        <v>5.9495768995396849</v>
      </c>
      <c r="FV18" s="46">
        <v>5.970104601249778</v>
      </c>
      <c r="FW18" s="46">
        <v>6.6249120041113629</v>
      </c>
      <c r="FX18" s="46">
        <v>5.9469427616612673</v>
      </c>
      <c r="FY18" s="46">
        <v>5.5944874344560516</v>
      </c>
      <c r="FZ18" s="46">
        <v>5.2750951753684481</v>
      </c>
      <c r="GA18" s="46">
        <v>5.117365749723036</v>
      </c>
      <c r="GB18" s="46">
        <v>4.9149375315825061</v>
      </c>
      <c r="GC18" s="46">
        <v>4.9041528505026664</v>
      </c>
      <c r="GD18" s="46">
        <v>5.1486303042622836</v>
      </c>
      <c r="GE18" s="46">
        <v>5.1636487449224999</v>
      </c>
      <c r="GF18" s="46">
        <v>5.4274981605386454</v>
      </c>
      <c r="GG18" s="51">
        <v>9.0580981872485804</v>
      </c>
      <c r="GH18" s="51">
        <v>9.0147171106833603</v>
      </c>
      <c r="GI18" s="51">
        <v>8.75116960269035</v>
      </c>
      <c r="GJ18" s="51">
        <v>8.7633853254528908</v>
      </c>
      <c r="GK18" s="51">
        <v>8.8404471549525407</v>
      </c>
      <c r="GL18" s="51">
        <v>8.5792546230538704</v>
      </c>
      <c r="GM18" s="51">
        <v>6.5974439740815702</v>
      </c>
      <c r="GN18" s="51">
        <v>8.4848226566009206</v>
      </c>
      <c r="GO18" s="56">
        <v>8.9240761294445505</v>
      </c>
      <c r="GP18" s="56">
        <v>8.8524653502268595</v>
      </c>
      <c r="GQ18" s="56">
        <v>8.3014118988882704</v>
      </c>
      <c r="GR18" s="56">
        <v>7.8105827766158296</v>
      </c>
      <c r="GS18" s="56">
        <v>5.2431812075686004</v>
      </c>
      <c r="GT18" s="56">
        <v>5.7614203843293001</v>
      </c>
      <c r="GU18" s="56">
        <v>5.2296580099404197</v>
      </c>
      <c r="GV18" s="56">
        <v>4.7041988512723298</v>
      </c>
      <c r="GW18" s="56">
        <v>4.6570095262433098</v>
      </c>
      <c r="GX18" s="56">
        <v>5.0484957617993</v>
      </c>
      <c r="GY18" s="56">
        <v>5.0484957617993</v>
      </c>
      <c r="GZ18" s="56">
        <v>5.1538591849851798</v>
      </c>
      <c r="HA18" s="56">
        <v>5.1530126798990699</v>
      </c>
      <c r="HB18" s="56">
        <v>4.6322023165759196</v>
      </c>
      <c r="HC18" s="56">
        <v>5.6388589843835604</v>
      </c>
      <c r="HD18" s="56">
        <v>5.81900949708273</v>
      </c>
      <c r="HE18" s="56">
        <v>5.8450938053232999</v>
      </c>
      <c r="HF18" s="56">
        <v>4.4699825063642002</v>
      </c>
      <c r="HG18" s="56">
        <v>4.44163694770024</v>
      </c>
      <c r="HH18" s="56">
        <v>4.2748428443307196</v>
      </c>
      <c r="HI18" s="56">
        <v>4.4877818815939099</v>
      </c>
      <c r="HJ18" s="56">
        <v>4.2921637295467203</v>
      </c>
      <c r="HK18" s="56">
        <v>4.3904863296150198</v>
      </c>
      <c r="HL18" s="56">
        <v>5.0816351636753501</v>
      </c>
      <c r="HM18" s="56">
        <v>5.0789062366764499</v>
      </c>
      <c r="HN18" s="56">
        <v>4.90867849326452</v>
      </c>
      <c r="HO18" s="56">
        <v>5.4940618725472499</v>
      </c>
      <c r="HP18" s="56">
        <v>2.6384476891092401</v>
      </c>
      <c r="HQ18" s="56">
        <v>2.6634861679402699</v>
      </c>
      <c r="HR18" s="56">
        <v>3.1547567392306002</v>
      </c>
      <c r="HS18" s="56">
        <v>3.2541044549317202</v>
      </c>
      <c r="HT18" s="56">
        <v>3.8429174494577398</v>
      </c>
      <c r="HU18" s="56">
        <v>3.90462706384361</v>
      </c>
      <c r="HV18" s="56">
        <v>4.9875124186419697</v>
      </c>
      <c r="HW18" s="56">
        <v>4.6361191445207499</v>
      </c>
      <c r="HX18" s="56">
        <v>4.5000444775288502</v>
      </c>
      <c r="HY18" s="56">
        <v>4.6947826037938603</v>
      </c>
      <c r="HZ18" s="56">
        <v>5.0150583865487004</v>
      </c>
      <c r="IA18" s="56">
        <v>6.1721736755175298</v>
      </c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</row>
    <row r="19" spans="1:451">
      <c r="A19" s="20" t="s">
        <v>248</v>
      </c>
      <c r="B19" s="33" t="s">
        <v>206</v>
      </c>
      <c r="C19" s="20" t="s">
        <v>248</v>
      </c>
      <c r="D19" s="53">
        <v>11</v>
      </c>
      <c r="E19" s="46">
        <v>6.23</v>
      </c>
      <c r="F19" s="46">
        <v>9.99</v>
      </c>
      <c r="G19" s="46">
        <v>9.74</v>
      </c>
      <c r="H19" s="46">
        <v>8.16</v>
      </c>
      <c r="I19" s="46">
        <v>8.27</v>
      </c>
      <c r="J19" s="46">
        <v>8</v>
      </c>
      <c r="K19" s="46">
        <v>10.28</v>
      </c>
      <c r="L19" s="46">
        <v>10.8</v>
      </c>
      <c r="M19" s="46">
        <v>10.63</v>
      </c>
      <c r="N19" s="46">
        <v>10.425389145022141</v>
      </c>
      <c r="O19" s="46">
        <v>10.804548657254536</v>
      </c>
      <c r="P19" s="46">
        <v>10.759115073863367</v>
      </c>
      <c r="Q19" s="46">
        <v>10.818557960041034</v>
      </c>
      <c r="R19" s="46">
        <v>10.825556353194544</v>
      </c>
      <c r="S19" s="46">
        <v>11.038693528693527</v>
      </c>
      <c r="T19" s="46">
        <v>11.206603462489696</v>
      </c>
      <c r="U19" s="46">
        <v>11.06912629070691</v>
      </c>
      <c r="V19" s="46">
        <v>11.05399416909621</v>
      </c>
      <c r="W19" s="46">
        <v>10.595919416658877</v>
      </c>
      <c r="X19" s="46">
        <v>9.83543303096336</v>
      </c>
      <c r="Y19" s="46">
        <v>11.153243221611413</v>
      </c>
      <c r="Z19" s="46">
        <v>11.476816455373974</v>
      </c>
      <c r="AA19" s="46">
        <v>9.4699061749501574</v>
      </c>
      <c r="AB19" s="46">
        <v>8.8944883652370024</v>
      </c>
      <c r="AC19" s="46">
        <v>8.6002296504613973</v>
      </c>
      <c r="AD19" s="46">
        <v>8.8792047288025699</v>
      </c>
      <c r="AE19" s="46">
        <v>8.7980237995067707</v>
      </c>
      <c r="AF19" s="46">
        <v>8.8526721355381408</v>
      </c>
      <c r="AG19" s="46">
        <v>9.0047561028704006</v>
      </c>
      <c r="AH19" s="46">
        <v>9.0040466655266389</v>
      </c>
      <c r="AI19" s="46">
        <v>8.8900268229074157</v>
      </c>
      <c r="AJ19" s="46">
        <v>9.3522261292198632</v>
      </c>
      <c r="AK19" s="46">
        <v>9.3857762088064245</v>
      </c>
      <c r="AL19" s="46">
        <v>9.3849280471239087</v>
      </c>
      <c r="AM19" s="46">
        <v>9.9329683995694893</v>
      </c>
      <c r="AN19" s="46">
        <v>9.2123958202668117</v>
      </c>
      <c r="AO19" s="46">
        <v>9.920070254362809</v>
      </c>
      <c r="AP19" s="46">
        <v>9.4896300182797866</v>
      </c>
      <c r="AQ19" s="46">
        <v>9.5334230255297836</v>
      </c>
      <c r="AR19" s="46">
        <v>10.085114573955464</v>
      </c>
      <c r="AS19" s="46">
        <v>10.047454010770094</v>
      </c>
      <c r="AT19" s="46">
        <v>10.244692630546508</v>
      </c>
      <c r="AU19" s="46">
        <v>9.9663904861952677</v>
      </c>
      <c r="AV19" s="46">
        <v>9.2008108057299687</v>
      </c>
      <c r="AW19" s="46">
        <v>9.3333231104927261</v>
      </c>
      <c r="AX19" s="46">
        <v>9.6134045964919324</v>
      </c>
      <c r="AY19" s="46">
        <v>11.020688108791536</v>
      </c>
      <c r="AZ19" s="46">
        <v>11.679908022918124</v>
      </c>
      <c r="BA19" s="46">
        <v>11.274484314858377</v>
      </c>
      <c r="BB19" s="46">
        <v>11.228762607499707</v>
      </c>
      <c r="BC19" s="46">
        <v>10.949991824943456</v>
      </c>
      <c r="BD19" s="46">
        <v>10.918582097168869</v>
      </c>
      <c r="BE19" s="46">
        <v>10.937894390715527</v>
      </c>
      <c r="BF19" s="46">
        <v>11.191955182430819</v>
      </c>
      <c r="BG19" s="46">
        <v>11.278341122543329</v>
      </c>
      <c r="BH19" s="46">
        <v>11.263516344298061</v>
      </c>
      <c r="BI19" s="46">
        <v>11.666020096411032</v>
      </c>
      <c r="BJ19" s="46">
        <v>11.679065867950971</v>
      </c>
      <c r="BK19" s="46">
        <v>11.804166827592338</v>
      </c>
      <c r="BL19" s="46">
        <v>11.827285900821366</v>
      </c>
      <c r="BM19" s="46">
        <v>11.840374183375662</v>
      </c>
      <c r="BN19" s="46">
        <v>11.75999737317623</v>
      </c>
      <c r="BO19" s="46">
        <v>11.635331218168918</v>
      </c>
      <c r="BP19" s="46">
        <v>11.461385632847499</v>
      </c>
      <c r="BQ19" s="46">
        <v>10.929628083167641</v>
      </c>
      <c r="BR19" s="46">
        <v>10.369937985134714</v>
      </c>
      <c r="BS19" s="46">
        <v>10.064709763423966</v>
      </c>
      <c r="BT19" s="46">
        <v>10.130960291479065</v>
      </c>
      <c r="BU19" s="46">
        <v>10.156700952366775</v>
      </c>
      <c r="BV19" s="46">
        <v>10.157090874794529</v>
      </c>
      <c r="BW19" s="46">
        <v>10.100764332060345</v>
      </c>
      <c r="BX19" s="46">
        <v>10.186857227764053</v>
      </c>
      <c r="BY19" s="46">
        <v>8.7010615181324322</v>
      </c>
      <c r="BZ19" s="46">
        <v>8.4890616540275019</v>
      </c>
      <c r="CA19" s="46">
        <v>8.4129685290564069</v>
      </c>
      <c r="CB19" s="46">
        <v>7.8600670556053167</v>
      </c>
      <c r="CC19" s="46">
        <v>7.9565393483738474</v>
      </c>
      <c r="CD19" s="46">
        <v>7.8453014025036234</v>
      </c>
      <c r="CE19" s="46">
        <v>7.2543602303600547</v>
      </c>
      <c r="CF19" s="46">
        <v>6.8890834944417589</v>
      </c>
      <c r="CG19" s="46">
        <v>6.1116299123325293</v>
      </c>
      <c r="CH19" s="46">
        <v>6.1554411031518246</v>
      </c>
      <c r="CI19" s="46">
        <v>6.1693204432295978</v>
      </c>
      <c r="CJ19" s="46">
        <v>6.0144797938779515</v>
      </c>
      <c r="CK19" s="46">
        <v>6.3029943094068708</v>
      </c>
      <c r="CL19" s="46">
        <v>6.3497889488189836</v>
      </c>
      <c r="CM19" s="46">
        <v>6.485803252677508</v>
      </c>
      <c r="CN19" s="46">
        <v>6.7803440911046096</v>
      </c>
      <c r="CO19" s="46">
        <v>7.7309388396761447</v>
      </c>
      <c r="CP19" s="46">
        <v>7.8702993680775455</v>
      </c>
      <c r="CQ19" s="46">
        <v>7.8426598266570275</v>
      </c>
      <c r="CR19" s="46">
        <v>7.6600037701177683</v>
      </c>
      <c r="CS19" s="46">
        <v>7.5682194395863105</v>
      </c>
      <c r="CT19" s="46">
        <v>7.8003236342850935</v>
      </c>
      <c r="CU19" s="46">
        <v>7.8499962320686842</v>
      </c>
      <c r="CV19" s="46">
        <v>7.8780787613000589</v>
      </c>
      <c r="CW19" s="46">
        <v>8.0565584916128703</v>
      </c>
      <c r="CX19" s="46">
        <v>8.4153112951592117</v>
      </c>
      <c r="CY19" s="46">
        <v>7.9342458067275743</v>
      </c>
      <c r="CZ19" s="46">
        <v>7.4825129951831411</v>
      </c>
      <c r="DA19" s="46">
        <v>6.635600266670675</v>
      </c>
      <c r="DB19" s="46">
        <v>7.1115268838506829</v>
      </c>
      <c r="DC19" s="46">
        <v>6.4366864752925625</v>
      </c>
      <c r="DD19" s="46">
        <v>6.6970732712648173</v>
      </c>
      <c r="DE19" s="46">
        <v>6.4941805141256195</v>
      </c>
      <c r="DF19" s="46">
        <v>6.0748013613959202</v>
      </c>
      <c r="DG19" s="46">
        <v>5.633357439802424</v>
      </c>
      <c r="DH19" s="46">
        <v>5.3123847348150184</v>
      </c>
      <c r="DI19" s="46">
        <v>5.6656609250657581</v>
      </c>
      <c r="DJ19" s="46">
        <v>5.5684340870260325</v>
      </c>
      <c r="DK19" s="46">
        <v>5.6880020100362474</v>
      </c>
      <c r="DL19" s="46">
        <v>5.8317506068989866</v>
      </c>
      <c r="DM19" s="46">
        <v>5.351680517187579</v>
      </c>
      <c r="DN19" s="46">
        <v>5.3364424361693921</v>
      </c>
      <c r="DO19" s="46">
        <v>5.354909837356761</v>
      </c>
      <c r="DP19" s="46">
        <v>5.8142714258282577</v>
      </c>
      <c r="DQ19" s="46">
        <v>5.6429620470559296</v>
      </c>
      <c r="DR19" s="46">
        <v>5.6757359517668018</v>
      </c>
      <c r="DS19" s="46">
        <v>5.8476376468517053</v>
      </c>
      <c r="DT19" s="46">
        <v>6.0065618582133924</v>
      </c>
      <c r="DU19" s="46">
        <v>5.7773083217621952</v>
      </c>
      <c r="DV19" s="46">
        <v>5.46</v>
      </c>
      <c r="DW19" s="46">
        <v>5.4155670446280562</v>
      </c>
      <c r="DX19" s="46">
        <v>5.5282296769649806</v>
      </c>
      <c r="DY19" s="46">
        <v>5.2440733033150773</v>
      </c>
      <c r="DZ19" s="46">
        <v>6.7436687647920843</v>
      </c>
      <c r="EA19" s="46">
        <v>5.7798622432196023</v>
      </c>
      <c r="EB19" s="46">
        <v>5.9784329383940795</v>
      </c>
      <c r="EC19" s="46">
        <v>4.5999051830860953</v>
      </c>
      <c r="ED19" s="46">
        <v>6.437687283603946</v>
      </c>
      <c r="EE19" s="46">
        <v>6.5345415429742744</v>
      </c>
      <c r="EF19" s="46">
        <v>6.135293185641526</v>
      </c>
      <c r="EG19" s="46">
        <v>5.5813175901741969</v>
      </c>
      <c r="EH19" s="46">
        <v>5.2190364693783877</v>
      </c>
      <c r="EI19" s="46">
        <v>5.2447209575055185</v>
      </c>
      <c r="EJ19" s="46">
        <v>5.7857469402955637</v>
      </c>
      <c r="EK19" s="46">
        <v>6.1731339738571824</v>
      </c>
      <c r="EL19" s="46">
        <v>7.5065248475020132</v>
      </c>
      <c r="EM19" s="46">
        <v>8.0197053879500988</v>
      </c>
      <c r="EN19" s="46">
        <v>7.7621141510052718</v>
      </c>
      <c r="EO19" s="46">
        <v>9.2046797806188039</v>
      </c>
      <c r="EP19" s="46">
        <v>7.4655803412726582</v>
      </c>
      <c r="EQ19" s="46">
        <v>8.6802173220867758</v>
      </c>
      <c r="ER19" s="46">
        <v>11.855651868698308</v>
      </c>
      <c r="ES19" s="46">
        <v>12.115054945572346</v>
      </c>
      <c r="ET19" s="46">
        <v>11.146465430208714</v>
      </c>
      <c r="EU19" s="46">
        <v>12.408990562614239</v>
      </c>
      <c r="EV19" s="46">
        <v>13.37426994611692</v>
      </c>
      <c r="EW19" s="46">
        <v>13.26829522489326</v>
      </c>
      <c r="EX19" s="46">
        <v>13.291554298269212</v>
      </c>
      <c r="EY19" s="46">
        <v>13.167691104891894</v>
      </c>
      <c r="EZ19" s="46">
        <v>12.981078509477115</v>
      </c>
      <c r="FA19" s="46">
        <v>12.7005230407682</v>
      </c>
      <c r="FB19" s="46">
        <v>11.857515216880673</v>
      </c>
      <c r="FC19" s="46">
        <v>11.482307244416081</v>
      </c>
      <c r="FD19" s="46">
        <v>10.902110237821578</v>
      </c>
      <c r="FE19" s="46">
        <v>10.354504407404104</v>
      </c>
      <c r="FF19" s="46">
        <v>10.26985097647942</v>
      </c>
      <c r="FG19" s="46">
        <v>10.199434733627402</v>
      </c>
      <c r="FH19" s="46">
        <v>10.285688277432417</v>
      </c>
      <c r="FI19" s="46">
        <v>9.7755015563420713</v>
      </c>
      <c r="FJ19" s="46">
        <v>9.7687659950161105</v>
      </c>
      <c r="FK19" s="46">
        <v>6.7111615126555044</v>
      </c>
      <c r="FL19" s="46">
        <v>6.4934368488125784</v>
      </c>
      <c r="FM19" s="46">
        <v>6.2808154490267842</v>
      </c>
      <c r="FN19" s="46">
        <v>6.3915499732510161</v>
      </c>
      <c r="FO19" s="46">
        <v>5.7556003249149352</v>
      </c>
      <c r="FP19" s="46">
        <v>5.7527791904120305</v>
      </c>
      <c r="FQ19" s="46">
        <v>5.6525722947761192</v>
      </c>
      <c r="FR19" s="46">
        <v>5.4974300475223279</v>
      </c>
      <c r="FS19" s="46">
        <v>5.2559510877797377</v>
      </c>
      <c r="FT19" s="46">
        <v>5.4095479860882651</v>
      </c>
      <c r="FU19" s="46">
        <v>5.3505116275427751</v>
      </c>
      <c r="FV19" s="46">
        <v>5.6861053972823372</v>
      </c>
      <c r="FW19" s="46">
        <v>5.4674926001714637</v>
      </c>
      <c r="FX19" s="46">
        <v>5.1449546773508619</v>
      </c>
      <c r="FY19" s="46">
        <v>5.3161049831278087</v>
      </c>
      <c r="FZ19" s="46">
        <v>5.2242940771371362</v>
      </c>
      <c r="GA19" s="46">
        <v>5.1003842676105791</v>
      </c>
      <c r="GB19" s="46">
        <v>6.0188162931879132</v>
      </c>
      <c r="GC19" s="46">
        <v>5.9711650392416118</v>
      </c>
      <c r="GD19" s="46">
        <v>5.9450027947492341</v>
      </c>
      <c r="GE19" s="46">
        <v>5.6024183078000958</v>
      </c>
      <c r="GF19" s="46">
        <v>6.6521770959722595</v>
      </c>
      <c r="GG19" s="51">
        <v>6.4948549755473586</v>
      </c>
      <c r="GH19" s="51">
        <v>6.6566504598670804</v>
      </c>
      <c r="GI19" s="51">
        <v>7.0939285497098403</v>
      </c>
      <c r="GJ19" s="51">
        <v>6.2653720372037203</v>
      </c>
      <c r="GK19" s="51">
        <v>6.3086498492410703</v>
      </c>
      <c r="GL19" s="51">
        <v>5.1734765107306799</v>
      </c>
      <c r="GM19" s="51">
        <v>6.2660172178865299</v>
      </c>
      <c r="GN19" s="51">
        <v>6.2704023323256397</v>
      </c>
      <c r="GO19" s="56">
        <v>5.7268732742056603</v>
      </c>
      <c r="GP19" s="56">
        <v>5.2817505628300196</v>
      </c>
      <c r="GQ19" s="56">
        <v>4.5405783812240799</v>
      </c>
      <c r="GR19" s="56">
        <v>4.0650918060381001</v>
      </c>
      <c r="GS19" s="56">
        <v>3.9556877837883802</v>
      </c>
      <c r="GT19" s="56">
        <v>4.0566788262478299</v>
      </c>
      <c r="GU19" s="56">
        <v>3.8780480535380502</v>
      </c>
      <c r="GV19" s="56">
        <v>4.0542684103102404</v>
      </c>
      <c r="GW19" s="56">
        <v>4.2714561492954104</v>
      </c>
      <c r="GX19" s="56">
        <v>4.38819139426574</v>
      </c>
      <c r="GY19" s="56">
        <v>4.38819139426574</v>
      </c>
      <c r="GZ19" s="56">
        <v>4.7605060289958701</v>
      </c>
      <c r="HA19" s="56">
        <v>4.7452495324740998</v>
      </c>
      <c r="HB19" s="56">
        <v>6.4833258407157697</v>
      </c>
      <c r="HC19" s="56">
        <v>6.3403809123958697</v>
      </c>
      <c r="HD19" s="56">
        <v>5.98162084867948</v>
      </c>
      <c r="HE19" s="56">
        <v>6.58457400176533</v>
      </c>
      <c r="HF19" s="56">
        <v>6.6554159496389103</v>
      </c>
      <c r="HG19" s="56">
        <v>6.85067292996494</v>
      </c>
      <c r="HH19" s="56">
        <v>6.8141395093874202</v>
      </c>
      <c r="HI19" s="56">
        <v>4.2788502733089899</v>
      </c>
      <c r="HJ19" s="56">
        <v>4.1300179278865601</v>
      </c>
      <c r="HK19" s="56">
        <v>4.2483246569393298</v>
      </c>
      <c r="HL19" s="56">
        <v>4.1136907239343996</v>
      </c>
      <c r="HM19" s="56">
        <v>3.8690654769956101</v>
      </c>
      <c r="HN19" s="56">
        <v>3.8870978115426902</v>
      </c>
      <c r="HO19" s="56">
        <v>4.1902019331693596</v>
      </c>
      <c r="HP19" s="56">
        <v>4.2881843778185598</v>
      </c>
      <c r="HQ19" s="56">
        <v>4.3388395482469901</v>
      </c>
      <c r="HR19" s="56">
        <v>5.2868817421269503</v>
      </c>
      <c r="HS19" s="56">
        <v>5.27075973531836</v>
      </c>
      <c r="HT19" s="56">
        <v>6.1627454614867698</v>
      </c>
      <c r="HU19" s="56">
        <v>6.1340742459516804</v>
      </c>
      <c r="HV19" s="56">
        <v>4.9628431031553601</v>
      </c>
      <c r="HW19" s="56">
        <v>4.9667630483912903</v>
      </c>
      <c r="HX19" s="56">
        <v>4.8562337501975401</v>
      </c>
      <c r="HY19" s="56">
        <v>4.8581566195648698</v>
      </c>
      <c r="HZ19" s="56">
        <v>4.8129434014156702</v>
      </c>
      <c r="IA19" s="56">
        <v>5.8036334775294103</v>
      </c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</row>
    <row r="20" spans="1:451">
      <c r="A20" s="20" t="s">
        <v>249</v>
      </c>
      <c r="B20" s="33" t="s">
        <v>207</v>
      </c>
      <c r="C20" s="20" t="s">
        <v>249</v>
      </c>
      <c r="D20" s="53">
        <v>8.5399999999999991</v>
      </c>
      <c r="E20" s="46">
        <v>8.5299999999999994</v>
      </c>
      <c r="F20" s="46">
        <v>8.25</v>
      </c>
      <c r="G20" s="46">
        <v>8.17</v>
      </c>
      <c r="H20" s="46">
        <v>7.35</v>
      </c>
      <c r="I20" s="46">
        <v>8</v>
      </c>
      <c r="J20" s="46">
        <v>8.3699999999999992</v>
      </c>
      <c r="K20" s="46">
        <v>8.3800000000000008</v>
      </c>
      <c r="L20" s="46">
        <v>8.5500000000000007</v>
      </c>
      <c r="M20" s="46">
        <v>8.74</v>
      </c>
      <c r="N20" s="46">
        <v>8.9248480783146729</v>
      </c>
      <c r="O20" s="46">
        <v>9.2025741794467244</v>
      </c>
      <c r="P20" s="46">
        <v>8.9312029714765497</v>
      </c>
      <c r="Q20" s="46">
        <v>9.3755282615259095</v>
      </c>
      <c r="R20" s="46">
        <v>9.5113147753547622</v>
      </c>
      <c r="S20" s="46">
        <v>10.147678604796013</v>
      </c>
      <c r="T20" s="46">
        <v>10.597216797068436</v>
      </c>
      <c r="U20" s="46">
        <v>11.490435904071054</v>
      </c>
      <c r="V20" s="46">
        <v>11.007072606553866</v>
      </c>
      <c r="W20" s="46">
        <v>10.025015887370261</v>
      </c>
      <c r="X20" s="46">
        <v>11.053810199800838</v>
      </c>
      <c r="Y20" s="46">
        <v>10.794369104246124</v>
      </c>
      <c r="Z20" s="46">
        <v>10.657713267029541</v>
      </c>
      <c r="AA20" s="46">
        <v>10.615575874827645</v>
      </c>
      <c r="AB20" s="46">
        <v>10.529251033566469</v>
      </c>
      <c r="AC20" s="46">
        <v>10.532505552590097</v>
      </c>
      <c r="AD20" s="46">
        <v>10.770585497173986</v>
      </c>
      <c r="AE20" s="46">
        <v>10.78382770363053</v>
      </c>
      <c r="AF20" s="46">
        <v>10.80974967598533</v>
      </c>
      <c r="AG20" s="46">
        <v>11.169279311625242</v>
      </c>
      <c r="AH20" s="46">
        <v>11.341725423562409</v>
      </c>
      <c r="AI20" s="46">
        <v>11.787339557210728</v>
      </c>
      <c r="AJ20" s="46">
        <v>11.680362331896763</v>
      </c>
      <c r="AK20" s="46">
        <v>12.019114988666887</v>
      </c>
      <c r="AL20" s="46">
        <v>11.905196016437337</v>
      </c>
      <c r="AM20" s="46">
        <v>12.168522498990619</v>
      </c>
      <c r="AN20" s="46">
        <v>12.11951895752814</v>
      </c>
      <c r="AO20" s="46">
        <v>12.11981526556475</v>
      </c>
      <c r="AP20" s="46">
        <v>11.970858297527764</v>
      </c>
      <c r="AQ20" s="46">
        <v>12.210073720455821</v>
      </c>
      <c r="AR20" s="46">
        <v>12.389800434936612</v>
      </c>
      <c r="AS20" s="46">
        <v>12.160976982521845</v>
      </c>
      <c r="AT20" s="46">
        <v>12.223521266513771</v>
      </c>
      <c r="AU20" s="46">
        <v>12.420269035142438</v>
      </c>
      <c r="AV20" s="46">
        <v>12.424851032616425</v>
      </c>
      <c r="AW20" s="46">
        <v>12.554124432268368</v>
      </c>
      <c r="AX20" s="46">
        <v>12.651173735750161</v>
      </c>
      <c r="AY20" s="46">
        <v>11.608276318947189</v>
      </c>
      <c r="AZ20" s="46">
        <v>11.877796686338382</v>
      </c>
      <c r="BA20" s="46">
        <v>12.205567897180202</v>
      </c>
      <c r="BB20" s="46">
        <v>11.765970054131692</v>
      </c>
      <c r="BC20" s="46">
        <v>11.489589648078477</v>
      </c>
      <c r="BD20" s="46">
        <v>12.028367382590327</v>
      </c>
      <c r="BE20" s="46">
        <v>12.126504922190236</v>
      </c>
      <c r="BF20" s="46">
        <v>12.199837902540295</v>
      </c>
      <c r="BG20" s="46">
        <v>12.217375661778464</v>
      </c>
      <c r="BH20" s="46">
        <v>12.271956854730886</v>
      </c>
      <c r="BI20" s="46">
        <v>12.37681757055673</v>
      </c>
      <c r="BJ20" s="46">
        <v>12.578377850856343</v>
      </c>
      <c r="BK20" s="46">
        <v>12.612072852029705</v>
      </c>
      <c r="BL20" s="46">
        <v>12.480884716648257</v>
      </c>
      <c r="BM20" s="46">
        <v>12.185158033596656</v>
      </c>
      <c r="BN20" s="46">
        <v>12.010911110558286</v>
      </c>
      <c r="BO20" s="46">
        <v>12.052610857102</v>
      </c>
      <c r="BP20" s="46">
        <v>11.977464079501001</v>
      </c>
      <c r="BQ20" s="46">
        <v>11.493790259192883</v>
      </c>
      <c r="BR20" s="46">
        <v>11.96286342842652</v>
      </c>
      <c r="BS20" s="46">
        <v>12.017099633653375</v>
      </c>
      <c r="BT20" s="46">
        <v>11.581504958108313</v>
      </c>
      <c r="BU20" s="46">
        <v>11.495996363511196</v>
      </c>
      <c r="BV20" s="46">
        <v>11.58012742550595</v>
      </c>
      <c r="BW20" s="46">
        <v>11.31826543781512</v>
      </c>
      <c r="BX20" s="46">
        <v>11.226735704506394</v>
      </c>
      <c r="BY20" s="46">
        <v>10.961740384293394</v>
      </c>
      <c r="BZ20" s="46">
        <v>11.110166398720374</v>
      </c>
      <c r="CA20" s="46">
        <v>10.896285101565043</v>
      </c>
      <c r="CB20" s="46">
        <v>10.906956402681081</v>
      </c>
      <c r="CC20" s="46">
        <v>10.679151165114765</v>
      </c>
      <c r="CD20" s="46">
        <v>10.768190342117936</v>
      </c>
      <c r="CE20" s="46">
        <v>10.726409054541088</v>
      </c>
      <c r="CF20" s="46">
        <v>10.693627818709244</v>
      </c>
      <c r="CG20" s="46">
        <v>10.732942697350717</v>
      </c>
      <c r="CH20" s="46">
        <v>10.742884376085126</v>
      </c>
      <c r="CI20" s="46">
        <v>10.649222314245625</v>
      </c>
      <c r="CJ20" s="46">
        <v>10.663226169513862</v>
      </c>
      <c r="CK20" s="46">
        <v>10.355048968051387</v>
      </c>
      <c r="CL20" s="46">
        <v>10.353476389471263</v>
      </c>
      <c r="CM20" s="46">
        <v>10.36541769458764</v>
      </c>
      <c r="CN20" s="46">
        <v>10.298519029188403</v>
      </c>
      <c r="CO20" s="46">
        <v>10.228577585057225</v>
      </c>
      <c r="CP20" s="46">
        <v>10.313087307847143</v>
      </c>
      <c r="CQ20" s="46">
        <v>10.32693163284967</v>
      </c>
      <c r="CR20" s="46">
        <v>10.303092956166779</v>
      </c>
      <c r="CS20" s="46">
        <v>10.211892487009337</v>
      </c>
      <c r="CT20" s="46">
        <v>10.153467596892254</v>
      </c>
      <c r="CU20" s="46">
        <v>9.9307673874098477</v>
      </c>
      <c r="CV20" s="46">
        <v>10.045527055172128</v>
      </c>
      <c r="CW20" s="46">
        <v>10.056311534712687</v>
      </c>
      <c r="CX20" s="46">
        <v>9.8443944216956591</v>
      </c>
      <c r="CY20" s="46">
        <v>9.8750388766312565</v>
      </c>
      <c r="CZ20" s="46">
        <v>9.7567859522814828</v>
      </c>
      <c r="DA20" s="46">
        <v>10.040354978672783</v>
      </c>
      <c r="DB20" s="46">
        <v>9.9429341930687851</v>
      </c>
      <c r="DC20" s="46">
        <v>10.045045172685162</v>
      </c>
      <c r="DD20" s="46">
        <v>10.022259724176118</v>
      </c>
      <c r="DE20" s="46">
        <v>9.9967656653500025</v>
      </c>
      <c r="DF20" s="46">
        <v>9.8606533813120407</v>
      </c>
      <c r="DG20" s="46">
        <v>9.7723059037099489</v>
      </c>
      <c r="DH20" s="46">
        <v>9.8390261506853278</v>
      </c>
      <c r="DI20" s="46">
        <v>9.7046897468902902</v>
      </c>
      <c r="DJ20" s="46">
        <v>9.7272682412315561</v>
      </c>
      <c r="DK20" s="46">
        <v>9.4862017730915316</v>
      </c>
      <c r="DL20" s="46">
        <v>9.4627954895184168</v>
      </c>
      <c r="DM20" s="46">
        <v>9.1909630114097887</v>
      </c>
      <c r="DN20" s="46">
        <v>9.1769724703924442</v>
      </c>
      <c r="DO20" s="46">
        <v>9.0145482638553602</v>
      </c>
      <c r="DP20" s="46">
        <v>8.9738290333905208</v>
      </c>
      <c r="DQ20" s="46">
        <v>8.9984426573883738</v>
      </c>
      <c r="DR20" s="46">
        <v>8.994592586901712</v>
      </c>
      <c r="DS20" s="46">
        <v>8.9521506267174704</v>
      </c>
      <c r="DT20" s="46">
        <v>9.0098456173964028</v>
      </c>
      <c r="DU20" s="46">
        <v>9.0755290305756464</v>
      </c>
      <c r="DV20" s="46">
        <v>8.98</v>
      </c>
      <c r="DW20" s="46">
        <v>9.421578151905333</v>
      </c>
      <c r="DX20" s="46">
        <v>9.4341774533372273</v>
      </c>
      <c r="DY20" s="46">
        <v>9.4497743269594086</v>
      </c>
      <c r="DZ20" s="46">
        <v>9.3188951552893098</v>
      </c>
      <c r="EA20" s="46">
        <v>9.2475760616871998</v>
      </c>
      <c r="EB20" s="46">
        <v>9.1650777408217543</v>
      </c>
      <c r="EC20" s="46">
        <v>8.6042676106985176</v>
      </c>
      <c r="ED20" s="46">
        <v>8.9452062939351453</v>
      </c>
      <c r="EE20" s="46">
        <v>8.6274294646982508</v>
      </c>
      <c r="EF20" s="46">
        <v>8.5571832169017181</v>
      </c>
      <c r="EG20" s="46">
        <v>8.2160029198757911</v>
      </c>
      <c r="EH20" s="46">
        <v>7.8831133290903646</v>
      </c>
      <c r="EI20" s="46">
        <v>7.8161426834107193</v>
      </c>
      <c r="EJ20" s="46">
        <v>7.8308770683566156</v>
      </c>
      <c r="EK20" s="46">
        <v>8.1191092133352765</v>
      </c>
      <c r="EL20" s="46">
        <v>8.1329879747116198</v>
      </c>
      <c r="EM20" s="46">
        <v>8.2746832022393875</v>
      </c>
      <c r="EN20" s="46">
        <v>8.1941220472450489</v>
      </c>
      <c r="EO20" s="46">
        <v>9.3214070248855379</v>
      </c>
      <c r="EP20" s="46">
        <v>9.8534223197120845</v>
      </c>
      <c r="EQ20" s="46">
        <v>5.2169079598538</v>
      </c>
      <c r="ER20" s="46">
        <v>5.3291849050605204</v>
      </c>
      <c r="ES20" s="46">
        <v>5.5266378857597571</v>
      </c>
      <c r="ET20" s="46">
        <v>5.1232967385938162</v>
      </c>
      <c r="EU20" s="46">
        <v>5.7555959461004402</v>
      </c>
      <c r="EV20" s="46">
        <v>5.6704971312025307</v>
      </c>
      <c r="EW20" s="46">
        <v>5.7287353871381095</v>
      </c>
      <c r="EX20" s="46">
        <v>5.854896853923524</v>
      </c>
      <c r="EY20" s="46">
        <v>7.5506380759375071</v>
      </c>
      <c r="EZ20" s="46">
        <v>8.476293906850243</v>
      </c>
      <c r="FA20" s="46">
        <v>9.5868839182913117</v>
      </c>
      <c r="FB20" s="46">
        <v>11.013734109029521</v>
      </c>
      <c r="FC20" s="46">
        <v>12.201653253380965</v>
      </c>
      <c r="FD20" s="46">
        <v>12.052243846456852</v>
      </c>
      <c r="FE20" s="46">
        <v>12.126232959749309</v>
      </c>
      <c r="FF20" s="46">
        <v>11.111450011089104</v>
      </c>
      <c r="FG20" s="46">
        <v>10.798792710104353</v>
      </c>
      <c r="FH20" s="46">
        <v>10.784335863950819</v>
      </c>
      <c r="FI20" s="46">
        <v>10.735031234645557</v>
      </c>
      <c r="FJ20" s="46">
        <v>10.407557975674187</v>
      </c>
      <c r="FK20" s="46">
        <v>10.292656835683646</v>
      </c>
      <c r="FL20" s="46">
        <v>10.253793267293871</v>
      </c>
      <c r="FM20" s="46">
        <v>10.10166087928887</v>
      </c>
      <c r="FN20" s="46">
        <v>9.9977302096245904</v>
      </c>
      <c r="FO20" s="46">
        <v>9.8436463978188478</v>
      </c>
      <c r="FP20" s="46">
        <v>9.1988548406566633</v>
      </c>
      <c r="FQ20" s="46">
        <v>9.7863264338575728</v>
      </c>
      <c r="FR20" s="46">
        <v>9.5197161942437933</v>
      </c>
      <c r="FS20" s="46">
        <v>9.6846429117486075</v>
      </c>
      <c r="FT20" s="46">
        <v>9.6860936567367943</v>
      </c>
      <c r="FU20" s="46">
        <v>9.7506071939338099</v>
      </c>
      <c r="FV20" s="46">
        <v>9.9131372418991415</v>
      </c>
      <c r="FW20" s="46">
        <v>9.9368295791054226</v>
      </c>
      <c r="FX20" s="46">
        <v>9.8528338487210547</v>
      </c>
      <c r="FY20" s="46">
        <v>9.8008290551738906</v>
      </c>
      <c r="FZ20" s="46">
        <v>9.7411746045162708</v>
      </c>
      <c r="GA20" s="46">
        <v>9.6691234804167721</v>
      </c>
      <c r="GB20" s="46">
        <v>9.4139177864203134</v>
      </c>
      <c r="GC20" s="46">
        <v>9.3697689619612543</v>
      </c>
      <c r="GD20" s="46">
        <v>9.3498442438153031</v>
      </c>
      <c r="GE20" s="46">
        <v>9.1032643424135831</v>
      </c>
      <c r="GF20" s="46">
        <v>8.9601338505400907</v>
      </c>
      <c r="GG20" s="51">
        <v>8.7374027489187096</v>
      </c>
      <c r="GH20" s="51">
        <v>8.4324615746479896</v>
      </c>
      <c r="GI20" s="51">
        <v>8.4619106592866196</v>
      </c>
      <c r="GJ20" s="51">
        <v>8.4512826692146295</v>
      </c>
      <c r="GK20" s="51">
        <v>8.5319964675982103</v>
      </c>
      <c r="GL20" s="51">
        <v>8.5331729290733094</v>
      </c>
      <c r="GM20" s="51">
        <v>8.5449541791879398</v>
      </c>
      <c r="GN20" s="51">
        <v>8.5945541169377204</v>
      </c>
      <c r="GO20" s="56">
        <v>8.5938060771878408</v>
      </c>
      <c r="GP20" s="56">
        <v>8.4471979178782792</v>
      </c>
      <c r="GQ20" s="56">
        <v>8.6437064526368594</v>
      </c>
      <c r="GR20" s="56">
        <v>8.6565645294752898</v>
      </c>
      <c r="GS20" s="56">
        <v>8.6905894396753904</v>
      </c>
      <c r="GT20" s="56">
        <v>8.7527650832039896</v>
      </c>
      <c r="GU20" s="56">
        <v>8.7713496583473898</v>
      </c>
      <c r="GV20" s="56">
        <v>8.7731118647745792</v>
      </c>
      <c r="GW20" s="56">
        <v>8.7365132059614208</v>
      </c>
      <c r="GX20" s="56">
        <v>8.7293073194602506</v>
      </c>
      <c r="GY20" s="56">
        <v>8.7293073194602506</v>
      </c>
      <c r="GZ20" s="56">
        <v>8.70626767801296</v>
      </c>
      <c r="HA20" s="56">
        <v>8.7796080150966205</v>
      </c>
      <c r="HB20" s="56">
        <v>8.8045856113221905</v>
      </c>
      <c r="HC20" s="56">
        <v>8.7850794510076593</v>
      </c>
      <c r="HD20" s="56">
        <v>8.8555758200616204</v>
      </c>
      <c r="HE20" s="56">
        <v>8.8980079375865699</v>
      </c>
      <c r="HF20" s="56">
        <v>9.0302013078209793</v>
      </c>
      <c r="HG20" s="56">
        <v>9.0764698924794907</v>
      </c>
      <c r="HH20" s="56">
        <v>9.0104927786926901</v>
      </c>
      <c r="HI20" s="56">
        <v>8.9641484154815707</v>
      </c>
      <c r="HJ20" s="56">
        <v>8.9828179944789799</v>
      </c>
      <c r="HK20" s="56">
        <v>9.0069283704317602</v>
      </c>
      <c r="HL20" s="56">
        <v>9.0081266374546693</v>
      </c>
      <c r="HM20" s="56">
        <v>9.0747150601513002</v>
      </c>
      <c r="HN20" s="56">
        <v>9.01566531560022</v>
      </c>
      <c r="HO20" s="56">
        <v>9.0256695398662607</v>
      </c>
      <c r="HP20" s="56">
        <v>9.0102961146443796</v>
      </c>
      <c r="HQ20" s="56">
        <v>8.9193558008015295</v>
      </c>
      <c r="HR20" s="56">
        <v>8.8405257773495407</v>
      </c>
      <c r="HS20" s="56">
        <v>8.6694027092729797</v>
      </c>
      <c r="HT20" s="56">
        <v>8.5656192919634897</v>
      </c>
      <c r="HU20" s="56">
        <v>8.5440783776318092</v>
      </c>
      <c r="HV20" s="56">
        <v>8.5244824103153594</v>
      </c>
      <c r="HW20" s="56">
        <v>8.5026595942363805</v>
      </c>
      <c r="HX20" s="56">
        <v>8.4361013385733905</v>
      </c>
      <c r="HY20" s="56">
        <v>8.4417684594680704</v>
      </c>
      <c r="HZ20" s="56">
        <v>8.3556366372669295</v>
      </c>
      <c r="IA20" s="56">
        <v>8.3768152910722709</v>
      </c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</row>
    <row r="21" spans="1:451">
      <c r="A21" s="20" t="s">
        <v>250</v>
      </c>
      <c r="B21" s="33" t="s">
        <v>208</v>
      </c>
      <c r="C21" s="20" t="s">
        <v>250</v>
      </c>
      <c r="D21" s="53">
        <v>6.83</v>
      </c>
      <c r="E21" s="46">
        <v>7.28</v>
      </c>
      <c r="F21" s="46">
        <v>7.34</v>
      </c>
      <c r="G21" s="46">
        <v>7.17</v>
      </c>
      <c r="H21" s="46">
        <v>6.83</v>
      </c>
      <c r="I21" s="46">
        <v>7.16</v>
      </c>
      <c r="J21" s="46">
        <v>7.54</v>
      </c>
      <c r="K21" s="46">
        <v>7.75</v>
      </c>
      <c r="L21" s="46">
        <v>8.4700000000000006</v>
      </c>
      <c r="M21" s="46">
        <v>8.42</v>
      </c>
      <c r="N21" s="46">
        <v>8.5675015358495212</v>
      </c>
      <c r="O21" s="46">
        <v>8.4872501024748264</v>
      </c>
      <c r="P21" s="46">
        <v>8.9195751131408443</v>
      </c>
      <c r="Q21" s="46">
        <v>9.142993998295589</v>
      </c>
      <c r="R21" s="46">
        <v>9.3836685552407939</v>
      </c>
      <c r="S21" s="46">
        <v>9.77539869981252</v>
      </c>
      <c r="T21" s="46">
        <v>11.725115370085147</v>
      </c>
      <c r="U21" s="46">
        <v>11.094969075759799</v>
      </c>
      <c r="V21" s="46">
        <v>11.306002131598138</v>
      </c>
      <c r="W21" s="46">
        <v>12.058844968818326</v>
      </c>
      <c r="X21" s="46">
        <v>11.991753036413503</v>
      </c>
      <c r="Y21" s="46">
        <v>12.196280672940265</v>
      </c>
      <c r="Z21" s="46">
        <v>12.161694220667608</v>
      </c>
      <c r="AA21" s="46">
        <v>12.066358310370999</v>
      </c>
      <c r="AB21" s="46">
        <v>12.337970877129282</v>
      </c>
      <c r="AC21" s="46">
        <v>12.163546499437119</v>
      </c>
      <c r="AD21" s="46">
        <v>11.950218275684048</v>
      </c>
      <c r="AE21" s="46">
        <v>12.341355004779921</v>
      </c>
      <c r="AF21" s="46">
        <v>12.818537923739255</v>
      </c>
      <c r="AG21" s="46">
        <v>12.76243578415118</v>
      </c>
      <c r="AH21" s="46">
        <v>13.007318059014969</v>
      </c>
      <c r="AI21" s="46">
        <v>12.860715690868103</v>
      </c>
      <c r="AJ21" s="46">
        <v>13.033705424426692</v>
      </c>
      <c r="AK21" s="46">
        <v>13.279424686033249</v>
      </c>
      <c r="AL21" s="46">
        <v>13.053878501883652</v>
      </c>
      <c r="AM21" s="46">
        <v>13.231011324933585</v>
      </c>
      <c r="AN21" s="46">
        <v>13.09739186601073</v>
      </c>
      <c r="AO21" s="46">
        <v>12.874801507466882</v>
      </c>
      <c r="AP21" s="46">
        <v>12.772976233280312</v>
      </c>
      <c r="AQ21" s="46">
        <v>13.418327767347444</v>
      </c>
      <c r="AR21" s="46">
        <v>12.976686635514849</v>
      </c>
      <c r="AS21" s="46">
        <v>13.157626748769397</v>
      </c>
      <c r="AT21" s="46">
        <v>13.220351487664246</v>
      </c>
      <c r="AU21" s="46">
        <v>13.362667281791301</v>
      </c>
      <c r="AV21" s="46">
        <v>12.892149658649572</v>
      </c>
      <c r="AW21" s="46">
        <v>12.87708871832112</v>
      </c>
      <c r="AX21" s="46">
        <v>13.167673093336161</v>
      </c>
      <c r="AY21" s="46">
        <v>13.294257179739672</v>
      </c>
      <c r="AZ21" s="46">
        <v>12.864282175513329</v>
      </c>
      <c r="BA21" s="46">
        <v>12.076611348201816</v>
      </c>
      <c r="BB21" s="46">
        <v>12.110848205247528</v>
      </c>
      <c r="BC21" s="46">
        <v>11.916077931668456</v>
      </c>
      <c r="BD21" s="46">
        <v>11.651615362286895</v>
      </c>
      <c r="BE21" s="46">
        <v>12.102266504520207</v>
      </c>
      <c r="BF21" s="46">
        <v>11.76685330062339</v>
      </c>
      <c r="BG21" s="46">
        <v>11.874092311304912</v>
      </c>
      <c r="BH21" s="46">
        <v>11.802257487106507</v>
      </c>
      <c r="BI21" s="46">
        <v>12.151233937691803</v>
      </c>
      <c r="BJ21" s="46">
        <v>12.105632869511977</v>
      </c>
      <c r="BK21" s="46">
        <v>12.360912007095179</v>
      </c>
      <c r="BL21" s="46">
        <v>12.505935633060766</v>
      </c>
      <c r="BM21" s="46">
        <v>12.881874436644969</v>
      </c>
      <c r="BN21" s="46">
        <v>12.937714061753365</v>
      </c>
      <c r="BO21" s="46">
        <v>13.101219111235904</v>
      </c>
      <c r="BP21" s="46">
        <v>13.146669154411104</v>
      </c>
      <c r="BQ21" s="46">
        <v>12.868374963265705</v>
      </c>
      <c r="BR21" s="46">
        <v>13.044454285047317</v>
      </c>
      <c r="BS21" s="46">
        <v>12.943149661492278</v>
      </c>
      <c r="BT21" s="46">
        <v>13.002468130869852</v>
      </c>
      <c r="BU21" s="46">
        <v>12.554332251166782</v>
      </c>
      <c r="BV21" s="46">
        <v>12.634928613081691</v>
      </c>
      <c r="BW21" s="46">
        <v>12.408737507163691</v>
      </c>
      <c r="BX21" s="46">
        <v>12.626390722473822</v>
      </c>
      <c r="BY21" s="46">
        <v>12.670510627277526</v>
      </c>
      <c r="BZ21" s="46">
        <v>12.655125233301716</v>
      </c>
      <c r="CA21" s="46">
        <v>12.678303286204091</v>
      </c>
      <c r="CB21" s="46">
        <v>12.656999212132533</v>
      </c>
      <c r="CC21" s="46">
        <v>12.412523133665163</v>
      </c>
      <c r="CD21" s="46">
        <v>12.510364653956483</v>
      </c>
      <c r="CE21" s="46">
        <v>12.189886942190173</v>
      </c>
      <c r="CF21" s="46">
        <v>12.288918799403117</v>
      </c>
      <c r="CG21" s="46">
        <v>12.204895009970418</v>
      </c>
      <c r="CH21" s="46">
        <v>12.179425875435131</v>
      </c>
      <c r="CI21" s="46">
        <v>11.771276691306262</v>
      </c>
      <c r="CJ21" s="46">
        <v>11.384192113881561</v>
      </c>
      <c r="CK21" s="46">
        <v>11.130911640910623</v>
      </c>
      <c r="CL21" s="46">
        <v>11.268000918758549</v>
      </c>
      <c r="CM21" s="46">
        <v>11.217120810687119</v>
      </c>
      <c r="CN21" s="46">
        <v>11.205982875450449</v>
      </c>
      <c r="CO21" s="46">
        <v>11.396798065761981</v>
      </c>
      <c r="CP21" s="46">
        <v>11.340131094169067</v>
      </c>
      <c r="CQ21" s="46">
        <v>11.587272144872616</v>
      </c>
      <c r="CR21" s="46">
        <v>11.077697351820451</v>
      </c>
      <c r="CS21" s="46">
        <v>11.269907047273243</v>
      </c>
      <c r="CT21" s="46">
        <v>11.06973445252642</v>
      </c>
      <c r="CU21" s="46">
        <v>11.028896319188103</v>
      </c>
      <c r="CV21" s="46">
        <v>10.822686620623678</v>
      </c>
      <c r="CW21" s="46">
        <v>10.602799100453558</v>
      </c>
      <c r="CX21" s="46">
        <v>10.551754886576834</v>
      </c>
      <c r="CY21" s="46">
        <v>10.617601077225396</v>
      </c>
      <c r="CZ21" s="46">
        <v>10.642582385423006</v>
      </c>
      <c r="DA21" s="46">
        <v>9.7433945716904446</v>
      </c>
      <c r="DB21" s="46">
        <v>9.8217757414093576</v>
      </c>
      <c r="DC21" s="46">
        <v>9.9322330519655679</v>
      </c>
      <c r="DD21" s="46">
        <v>9.95301187475226</v>
      </c>
      <c r="DE21" s="46">
        <v>9.8836691435370518</v>
      </c>
      <c r="DF21" s="46">
        <v>9.9431972117105971</v>
      </c>
      <c r="DG21" s="46">
        <v>9.9313239278692489</v>
      </c>
      <c r="DH21" s="46">
        <v>9.9518983450729692</v>
      </c>
      <c r="DI21" s="46">
        <v>9.9735396847885074</v>
      </c>
      <c r="DJ21" s="46">
        <v>9.8299502425090068</v>
      </c>
      <c r="DK21" s="46">
        <v>9.9550081368087895</v>
      </c>
      <c r="DL21" s="46">
        <v>9.7989237755040506</v>
      </c>
      <c r="DM21" s="46">
        <v>9.7486385680021854</v>
      </c>
      <c r="DN21" s="46">
        <v>9.7560928097293509</v>
      </c>
      <c r="DO21" s="46">
        <v>9.7425950223928552</v>
      </c>
      <c r="DP21" s="46">
        <v>9.8914503427232816</v>
      </c>
      <c r="DQ21" s="46">
        <v>9.6218962777142192</v>
      </c>
      <c r="DR21" s="46">
        <v>9.4761203109291436</v>
      </c>
      <c r="DS21" s="46">
        <v>9.2874213149262239</v>
      </c>
      <c r="DT21" s="46">
        <v>9.2988576290268483</v>
      </c>
      <c r="DU21" s="46">
        <v>9.2649082914122971</v>
      </c>
      <c r="DV21" s="46">
        <v>9.2100000000000009</v>
      </c>
      <c r="DW21" s="46">
        <v>8.868590656940091</v>
      </c>
      <c r="DX21" s="46">
        <v>8.8711451601412232</v>
      </c>
      <c r="DY21" s="46">
        <v>8.4719347084990737</v>
      </c>
      <c r="DZ21" s="46">
        <v>8.3789571736768735</v>
      </c>
      <c r="EA21" s="46">
        <v>8.4952976564858229</v>
      </c>
      <c r="EB21" s="46">
        <v>7.7144107115047929</v>
      </c>
      <c r="EC21" s="46">
        <v>7.4180155989557033</v>
      </c>
      <c r="ED21" s="46">
        <v>8.4379821824327301</v>
      </c>
      <c r="EE21" s="46">
        <v>8.2571107890981512</v>
      </c>
      <c r="EF21" s="46">
        <v>8.0829340741051521</v>
      </c>
      <c r="EG21" s="46">
        <v>7.8471408119128947</v>
      </c>
      <c r="EH21" s="46">
        <v>7.5946955017922608</v>
      </c>
      <c r="EI21" s="46">
        <v>8.9618483947961263</v>
      </c>
      <c r="EJ21" s="46">
        <v>8.2169076790480027</v>
      </c>
      <c r="EK21" s="46">
        <v>7.5593735125740062</v>
      </c>
      <c r="EL21" s="46">
        <v>7.4814913457121373</v>
      </c>
      <c r="EM21" s="46">
        <v>7.5007453617235829</v>
      </c>
      <c r="EN21" s="46">
        <v>7.3886743663493668</v>
      </c>
      <c r="EO21" s="46">
        <v>7.7623095376888127</v>
      </c>
      <c r="EP21" s="46">
        <v>8.2330596108895655</v>
      </c>
      <c r="EQ21" s="46">
        <v>8.4392299371473758</v>
      </c>
      <c r="ER21" s="46">
        <v>8.4108864653713109</v>
      </c>
      <c r="ES21" s="46">
        <v>8.3978283794328323</v>
      </c>
      <c r="ET21" s="46">
        <v>8.3767494260231015</v>
      </c>
      <c r="EU21" s="46">
        <v>8.0762027901434656</v>
      </c>
      <c r="EV21" s="46">
        <v>8.5090975829454454</v>
      </c>
      <c r="EW21" s="46">
        <v>8.6518810158919539</v>
      </c>
      <c r="EX21" s="46">
        <v>8.7966214835301066</v>
      </c>
      <c r="EY21" s="46">
        <v>8.8835230714834008</v>
      </c>
      <c r="EZ21" s="46">
        <v>9.1111799717734687</v>
      </c>
      <c r="FA21" s="46">
        <v>9.2181069894420116</v>
      </c>
      <c r="FB21" s="46">
        <v>9.3245158040607965</v>
      </c>
      <c r="FC21" s="46">
        <v>9.3900104097408104</v>
      </c>
      <c r="FD21" s="46">
        <v>9.4794869304937794</v>
      </c>
      <c r="FE21" s="46">
        <v>9.6552056105716755</v>
      </c>
      <c r="FF21" s="46">
        <v>9.6276452882409664</v>
      </c>
      <c r="FG21" s="46">
        <v>9.6166314426032873</v>
      </c>
      <c r="FH21" s="46">
        <v>9.7108093932399573</v>
      </c>
      <c r="FI21" s="46">
        <v>9.6759935029332045</v>
      </c>
      <c r="FJ21" s="46">
        <v>9.6860484612145861</v>
      </c>
      <c r="FK21" s="46">
        <v>9.6467892957115424</v>
      </c>
      <c r="FL21" s="46">
        <v>9.6633115783591332</v>
      </c>
      <c r="FM21" s="46">
        <v>9.604136303566607</v>
      </c>
      <c r="FN21" s="46">
        <v>9.8538603821698221</v>
      </c>
      <c r="FO21" s="46">
        <v>9.7913480586447807</v>
      </c>
      <c r="FP21" s="46">
        <v>9.479362785553235</v>
      </c>
      <c r="FQ21" s="46">
        <v>9.489929348263372</v>
      </c>
      <c r="FR21" s="46">
        <v>9.562839375391107</v>
      </c>
      <c r="FS21" s="46">
        <v>9.4785094080590504</v>
      </c>
      <c r="FT21" s="46">
        <v>9.4645634456343508</v>
      </c>
      <c r="FU21" s="46">
        <v>9.5670446965096527</v>
      </c>
      <c r="FV21" s="46">
        <v>9.8268675088901087</v>
      </c>
      <c r="FW21" s="46">
        <v>9.8121914355314512</v>
      </c>
      <c r="FX21" s="46">
        <v>9.8181559198263386</v>
      </c>
      <c r="FY21" s="46">
        <v>9.6757696175036312</v>
      </c>
      <c r="FZ21" s="46">
        <v>9.6872721371513073</v>
      </c>
      <c r="GA21" s="46">
        <v>9.6660202588247692</v>
      </c>
      <c r="GB21" s="46">
        <v>9.4236685768087902</v>
      </c>
      <c r="GC21" s="46">
        <v>9.3531386873380065</v>
      </c>
      <c r="GD21" s="46">
        <v>9.3011583865129541</v>
      </c>
      <c r="GE21" s="46">
        <v>9.1347484500228635</v>
      </c>
      <c r="GF21" s="46">
        <v>9.071319076840755</v>
      </c>
      <c r="GG21" s="51">
        <v>8.8736467889370321</v>
      </c>
      <c r="GH21" s="51">
        <v>8.7833796208671302</v>
      </c>
      <c r="GI21" s="51">
        <v>8.8300679415346099</v>
      </c>
      <c r="GJ21" s="51">
        <v>8.8156627258292808</v>
      </c>
      <c r="GK21" s="51">
        <v>8.8918668373754404</v>
      </c>
      <c r="GL21" s="51">
        <v>8.6912964920594291</v>
      </c>
      <c r="GM21" s="51">
        <v>8.4564743624725907</v>
      </c>
      <c r="GN21" s="51">
        <v>8.6507689354048498</v>
      </c>
      <c r="GO21" s="56">
        <v>8.8220378656236296</v>
      </c>
      <c r="GP21" s="56">
        <v>8.6576978912288993</v>
      </c>
      <c r="GQ21" s="56">
        <v>8.9697927869155301</v>
      </c>
      <c r="GR21" s="56">
        <v>8.7900641590995701</v>
      </c>
      <c r="GS21" s="56">
        <v>8.7619551954052195</v>
      </c>
      <c r="GT21" s="56">
        <v>8.6477552170938097</v>
      </c>
      <c r="GU21" s="56">
        <v>8.6949210731189304</v>
      </c>
      <c r="GV21" s="56">
        <v>8.6984058300855907</v>
      </c>
      <c r="GW21" s="56">
        <v>8.6866318661951301</v>
      </c>
      <c r="GX21" s="56">
        <v>8.5551849400222206</v>
      </c>
      <c r="GY21" s="56">
        <v>8.5551849400222206</v>
      </c>
      <c r="GZ21" s="56">
        <v>8.5383844060182401</v>
      </c>
      <c r="HA21" s="56">
        <v>8.3910924372323201</v>
      </c>
      <c r="HB21" s="56">
        <v>8.4190308537893994</v>
      </c>
      <c r="HC21" s="56">
        <v>8.38469688285854</v>
      </c>
      <c r="HD21" s="56">
        <v>8.3710607989096495</v>
      </c>
      <c r="HE21" s="56">
        <v>8.5045453554138799</v>
      </c>
      <c r="HF21" s="56">
        <v>8.4454325056301691</v>
      </c>
      <c r="HG21" s="56">
        <v>8.4107388252640494</v>
      </c>
      <c r="HH21" s="56">
        <v>8.3738954543587596</v>
      </c>
      <c r="HI21" s="56">
        <v>8.3989788830766798</v>
      </c>
      <c r="HJ21" s="56">
        <v>8.4160502967798898</v>
      </c>
      <c r="HK21" s="56">
        <v>8.4182385643367095</v>
      </c>
      <c r="HL21" s="56">
        <v>8.4274927837694893</v>
      </c>
      <c r="HM21" s="56">
        <v>8.5192211952304593</v>
      </c>
      <c r="HN21" s="56">
        <v>8.5377132189004605</v>
      </c>
      <c r="HO21" s="56">
        <v>8.4911601026802792</v>
      </c>
      <c r="HP21" s="56">
        <v>8.5174681790627904</v>
      </c>
      <c r="HQ21" s="56">
        <v>8.6276762582378907</v>
      </c>
      <c r="HR21" s="56">
        <v>8.5965939006197498</v>
      </c>
      <c r="HS21" s="56">
        <v>8.6281201993508301</v>
      </c>
      <c r="HT21" s="56">
        <v>8.5796052566140197</v>
      </c>
      <c r="HU21" s="56">
        <v>8.6417389703494401</v>
      </c>
      <c r="HV21" s="56">
        <v>8.6517262483639392</v>
      </c>
      <c r="HW21" s="56">
        <v>8.6666707243532599</v>
      </c>
      <c r="HX21" s="56">
        <v>8.6581828115417707</v>
      </c>
      <c r="HY21" s="56">
        <v>8.7060654643226805</v>
      </c>
      <c r="HZ21" s="56">
        <v>8.7570818350464492</v>
      </c>
      <c r="IA21" s="56">
        <v>8.6919242190902395</v>
      </c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</row>
    <row r="22" spans="1:451">
      <c r="A22" s="20" t="s">
        <v>251</v>
      </c>
      <c r="B22" s="33" t="s">
        <v>209</v>
      </c>
      <c r="C22" s="20" t="s">
        <v>251</v>
      </c>
      <c r="D22" s="53" t="s">
        <v>197</v>
      </c>
      <c r="E22" s="46" t="s">
        <v>197</v>
      </c>
      <c r="F22" s="46" t="s">
        <v>197</v>
      </c>
      <c r="G22" s="46" t="s">
        <v>197</v>
      </c>
      <c r="H22" s="46" t="s">
        <v>197</v>
      </c>
      <c r="I22" s="46" t="s">
        <v>197</v>
      </c>
      <c r="J22" s="46" t="s">
        <v>197</v>
      </c>
      <c r="K22" s="46" t="s">
        <v>197</v>
      </c>
      <c r="L22" s="46" t="s">
        <v>197</v>
      </c>
      <c r="M22" s="46">
        <v>10.9</v>
      </c>
      <c r="N22" s="46">
        <v>10.96</v>
      </c>
      <c r="O22" s="46">
        <v>10.9</v>
      </c>
      <c r="P22" s="46">
        <v>10.9</v>
      </c>
      <c r="Q22" s="46">
        <v>10.9</v>
      </c>
      <c r="R22" s="46">
        <v>10.9</v>
      </c>
      <c r="S22" s="46">
        <v>10.9</v>
      </c>
      <c r="T22" s="46">
        <v>10.9</v>
      </c>
      <c r="U22" s="46">
        <v>10.9</v>
      </c>
      <c r="V22" s="46">
        <v>10.9</v>
      </c>
      <c r="W22" s="46">
        <v>10.9</v>
      </c>
      <c r="X22" s="46">
        <v>6.5</v>
      </c>
      <c r="Y22" s="46">
        <v>6.5</v>
      </c>
      <c r="Z22" s="46">
        <v>6.5</v>
      </c>
      <c r="AA22" s="46">
        <v>9.8687138406764578</v>
      </c>
      <c r="AB22" s="46">
        <v>10.927457098283933</v>
      </c>
      <c r="AC22" s="46">
        <v>11.410714285714286</v>
      </c>
      <c r="AD22" s="46">
        <v>10.7</v>
      </c>
      <c r="AE22" s="46">
        <v>10.7</v>
      </c>
      <c r="AF22" s="46">
        <v>10.96039603960396</v>
      </c>
      <c r="AG22" s="46">
        <v>10.836206896551724</v>
      </c>
      <c r="AH22" s="46">
        <v>10.664335664335663</v>
      </c>
      <c r="AI22" s="46">
        <v>11.11875</v>
      </c>
      <c r="AJ22" s="46">
        <v>10.445945945945947</v>
      </c>
      <c r="AK22" s="46">
        <v>11.432926829268293</v>
      </c>
      <c r="AL22" s="46">
        <v>12.597426470588236</v>
      </c>
      <c r="AM22" s="46">
        <v>11.477678571428573</v>
      </c>
      <c r="AN22" s="46">
        <v>13.305263157894736</v>
      </c>
      <c r="AO22" s="46">
        <v>11.588709677419354</v>
      </c>
      <c r="AP22" s="46">
        <v>11.458378378378377</v>
      </c>
      <c r="AQ22" s="46">
        <v>11.491846396633351</v>
      </c>
      <c r="AR22" s="46">
        <v>11.534132360604481</v>
      </c>
      <c r="AS22" s="46">
        <v>13.938928571428571</v>
      </c>
      <c r="AT22" s="46">
        <v>15.426934767360301</v>
      </c>
      <c r="AU22" s="46">
        <v>15.837472079884376</v>
      </c>
      <c r="AV22" s="46">
        <v>16.39</v>
      </c>
      <c r="AW22" s="46">
        <v>16.938228641030104</v>
      </c>
      <c r="AX22" s="46">
        <v>16.959545010036543</v>
      </c>
      <c r="AY22" s="46">
        <v>14.367034514913298</v>
      </c>
      <c r="AZ22" s="46">
        <v>14.42370706634634</v>
      </c>
      <c r="BA22" s="46">
        <v>14.982210034103295</v>
      </c>
      <c r="BB22" s="46">
        <v>15.156096311390552</v>
      </c>
      <c r="BC22" s="46">
        <v>16.185183535708408</v>
      </c>
      <c r="BD22" s="46">
        <v>14.344754665351667</v>
      </c>
      <c r="BE22" s="46">
        <v>14.149273726247063</v>
      </c>
      <c r="BF22" s="46">
        <v>12.223530879518362</v>
      </c>
      <c r="BG22" s="46">
        <v>11.775226042487279</v>
      </c>
      <c r="BH22" s="46">
        <v>11.498987083774407</v>
      </c>
      <c r="BI22" s="46">
        <v>11.242089643288836</v>
      </c>
      <c r="BJ22" s="46">
        <v>11.971692171507581</v>
      </c>
      <c r="BK22" s="46">
        <v>12.148031056462687</v>
      </c>
      <c r="BL22" s="46">
        <v>12.462146880863832</v>
      </c>
      <c r="BM22" s="46">
        <v>12.599788193681869</v>
      </c>
      <c r="BN22" s="46">
        <v>13.787410531285882</v>
      </c>
      <c r="BO22" s="46">
        <v>13.878575951752998</v>
      </c>
      <c r="BP22" s="46">
        <v>13.876128184934883</v>
      </c>
      <c r="BQ22" s="46">
        <v>13.417468116685303</v>
      </c>
      <c r="BR22" s="46">
        <v>13.243434130913965</v>
      </c>
      <c r="BS22" s="46">
        <v>13.002707283315452</v>
      </c>
      <c r="BT22" s="46">
        <v>13.12205087737704</v>
      </c>
      <c r="BU22" s="46">
        <v>13.237722367006862</v>
      </c>
      <c r="BV22" s="46">
        <v>13.310697087590443</v>
      </c>
      <c r="BW22" s="46">
        <v>12.849677171869688</v>
      </c>
      <c r="BX22" s="46">
        <v>12.858829645165782</v>
      </c>
      <c r="BY22" s="46">
        <v>13.444838518450087</v>
      </c>
      <c r="BZ22" s="46">
        <v>13.519858096828045</v>
      </c>
      <c r="CA22" s="46">
        <v>13.3825441031611</v>
      </c>
      <c r="CB22" s="46">
        <v>13.48522090004883</v>
      </c>
      <c r="CC22" s="46">
        <v>12.813082546579093</v>
      </c>
      <c r="CD22" s="46">
        <v>12.418683857162542</v>
      </c>
      <c r="CE22" s="46">
        <v>12.051685969510272</v>
      </c>
      <c r="CF22" s="46">
        <v>10.282398949181424</v>
      </c>
      <c r="CG22" s="46">
        <v>10.913020491091322</v>
      </c>
      <c r="CH22" s="46">
        <v>11.726880236134896</v>
      </c>
      <c r="CI22" s="46">
        <v>12.106048149439818</v>
      </c>
      <c r="CJ22" s="46">
        <v>12.223105926881795</v>
      </c>
      <c r="CK22" s="46">
        <v>12.386912448091177</v>
      </c>
      <c r="CL22" s="46">
        <v>12.368175355794214</v>
      </c>
      <c r="CM22" s="46">
        <v>12.376427587291211</v>
      </c>
      <c r="CN22" s="46">
        <v>12.483667814874773</v>
      </c>
      <c r="CO22" s="46">
        <v>12.860785870505417</v>
      </c>
      <c r="CP22" s="46">
        <v>12.96324254985984</v>
      </c>
      <c r="CQ22" s="46">
        <v>12.987585712718641</v>
      </c>
      <c r="CR22" s="46">
        <v>15.26</v>
      </c>
      <c r="CS22" s="46">
        <v>15.229999999999999</v>
      </c>
      <c r="CT22" s="46">
        <v>15.221457750193654</v>
      </c>
      <c r="CU22" s="46">
        <v>15.050671536899825</v>
      </c>
      <c r="CV22" s="46">
        <v>14.48121513238514</v>
      </c>
      <c r="CW22" s="46">
        <v>14.67215235586041</v>
      </c>
      <c r="CX22" s="46">
        <v>16.570037063778578</v>
      </c>
      <c r="CY22" s="46">
        <v>14.038271072538791</v>
      </c>
      <c r="CZ22" s="46">
        <v>13.962725117789919</v>
      </c>
      <c r="DA22" s="46">
        <v>13.553935517623421</v>
      </c>
      <c r="DB22" s="46">
        <v>12.672411594806253</v>
      </c>
      <c r="DC22" s="46">
        <v>12.623871649986928</v>
      </c>
      <c r="DD22" s="46">
        <v>9.7506395031755133</v>
      </c>
      <c r="DE22" s="46">
        <v>9.7481304780528824</v>
      </c>
      <c r="DF22" s="46">
        <v>9.0149305727308313</v>
      </c>
      <c r="DG22" s="46">
        <v>10.982109781938822</v>
      </c>
      <c r="DH22" s="46">
        <v>13.103462064526505</v>
      </c>
      <c r="DI22" s="46">
        <v>12.981960297580667</v>
      </c>
      <c r="DJ22" s="46">
        <v>12.130390737669174</v>
      </c>
      <c r="DK22" s="46">
        <v>12.681658561290645</v>
      </c>
      <c r="DL22" s="46">
        <v>12.183791808585552</v>
      </c>
      <c r="DM22" s="46">
        <v>12.082756448418504</v>
      </c>
      <c r="DN22" s="46">
        <v>12.057191943084407</v>
      </c>
      <c r="DO22" s="46">
        <v>12.117675337293218</v>
      </c>
      <c r="DP22" s="46">
        <v>12.449509676782556</v>
      </c>
      <c r="DQ22" s="46">
        <v>11.914698608906098</v>
      </c>
      <c r="DR22" s="46">
        <v>11.867311464869744</v>
      </c>
      <c r="DS22" s="46">
        <v>11.835786763863306</v>
      </c>
      <c r="DT22" s="46">
        <v>12.181742339028681</v>
      </c>
      <c r="DU22" s="46">
        <v>11.962738551213542</v>
      </c>
      <c r="DV22" s="46">
        <v>11.93</v>
      </c>
      <c r="DW22" s="46">
        <v>12.181470148898422</v>
      </c>
      <c r="DX22" s="46">
        <v>12.307025351634286</v>
      </c>
      <c r="DY22" s="46">
        <v>12.31466494207902</v>
      </c>
      <c r="DZ22" s="46">
        <v>13.081198447478409</v>
      </c>
      <c r="EA22" s="46">
        <v>13.832092135147635</v>
      </c>
      <c r="EB22" s="46">
        <v>13.851181345599718</v>
      </c>
      <c r="EC22" s="46">
        <v>13.889601057104841</v>
      </c>
      <c r="ED22" s="46">
        <v>14.009243660327989</v>
      </c>
      <c r="EE22" s="46">
        <v>12.013241715588752</v>
      </c>
      <c r="EF22" s="46">
        <v>12.035058772485934</v>
      </c>
      <c r="EG22" s="46">
        <v>11.616890307635797</v>
      </c>
      <c r="EH22" s="46">
        <v>11.995523774788452</v>
      </c>
      <c r="EI22" s="46">
        <v>11.49816844872116</v>
      </c>
      <c r="EJ22" s="46">
        <v>8.3906090383604663</v>
      </c>
      <c r="EK22" s="46">
        <v>10.522906013819002</v>
      </c>
      <c r="EL22" s="46">
        <v>9.9602492421461299</v>
      </c>
      <c r="EM22" s="46">
        <v>9.9291734820975996</v>
      </c>
      <c r="EN22" s="46">
        <v>8.8642405114770142</v>
      </c>
      <c r="EO22" s="46">
        <v>8.9568180397190726</v>
      </c>
      <c r="EP22" s="46">
        <v>9.5039660968760185</v>
      </c>
      <c r="EQ22" s="46">
        <v>10.208179846278645</v>
      </c>
      <c r="ER22" s="46">
        <v>9.4689509851204789</v>
      </c>
      <c r="ES22" s="46">
        <v>9.4812126043880944</v>
      </c>
      <c r="ET22" s="46">
        <v>9.4021239963916337</v>
      </c>
      <c r="EU22" s="46">
        <v>11.073062148347775</v>
      </c>
      <c r="EV22" s="46">
        <v>16.118322410123216</v>
      </c>
      <c r="EW22" s="46">
        <v>9.4766767940508334</v>
      </c>
      <c r="EX22" s="46">
        <v>9.4305240548500855</v>
      </c>
      <c r="EY22" s="46">
        <v>9.4637625054390337</v>
      </c>
      <c r="EZ22" s="46">
        <v>9.4552092390339304</v>
      </c>
      <c r="FA22" s="46">
        <v>9.7604402632967968</v>
      </c>
      <c r="FB22" s="46">
        <v>9.7777159118147399</v>
      </c>
      <c r="FC22" s="46">
        <v>9.6969074369815864</v>
      </c>
      <c r="FD22" s="46">
        <v>9.4776915714056589</v>
      </c>
      <c r="FE22" s="46">
        <v>9.2693909330025779</v>
      </c>
      <c r="FF22" s="46">
        <v>9.2500511917545669</v>
      </c>
      <c r="FG22" s="46">
        <v>9.3277445607218485</v>
      </c>
      <c r="FH22" s="46">
        <v>9.3162166043456445</v>
      </c>
      <c r="FI22" s="46">
        <v>9.2686049743124954</v>
      </c>
      <c r="FJ22" s="46">
        <v>9.6154877123330671</v>
      </c>
      <c r="FK22" s="46">
        <v>9.5835567290840569</v>
      </c>
      <c r="FL22" s="46">
        <v>9.4795890447910196</v>
      </c>
      <c r="FM22" s="46">
        <v>9.4523871468136864</v>
      </c>
      <c r="FN22" s="46">
        <v>9.399244893381745</v>
      </c>
      <c r="FO22" s="46">
        <v>9.3241631936403113</v>
      </c>
      <c r="FP22" s="46">
        <v>9.1753568052368308</v>
      </c>
      <c r="FQ22" s="46">
        <v>12.935888898861576</v>
      </c>
      <c r="FR22" s="46">
        <v>13.081262728680883</v>
      </c>
      <c r="FS22" s="46">
        <v>12.762061346850887</v>
      </c>
      <c r="FT22" s="46">
        <v>12.638592870302453</v>
      </c>
      <c r="FU22" s="46">
        <v>12.655137983235088</v>
      </c>
      <c r="FV22" s="46">
        <v>12.592381694800014</v>
      </c>
      <c r="FW22" s="46">
        <v>12.556572392143554</v>
      </c>
      <c r="FX22" s="46">
        <v>12.321058888361323</v>
      </c>
      <c r="FY22" s="46">
        <v>12.186656110048769</v>
      </c>
      <c r="FZ22" s="46">
        <v>11.485575194470711</v>
      </c>
      <c r="GA22" s="46">
        <v>11.356775252340977</v>
      </c>
      <c r="GB22" s="46">
        <v>11.20390609050035</v>
      </c>
      <c r="GC22" s="46">
        <v>11.584197962565989</v>
      </c>
      <c r="GD22" s="46">
        <v>11.451390416214338</v>
      </c>
      <c r="GE22" s="46">
        <v>11.369243882942847</v>
      </c>
      <c r="GF22" s="46">
        <v>10.259525137940036</v>
      </c>
      <c r="GG22" s="51">
        <v>10.164695551644565</v>
      </c>
      <c r="GH22" s="51">
        <v>9.8820492999385792</v>
      </c>
      <c r="GI22" s="51">
        <v>9.9818650252788306</v>
      </c>
      <c r="GJ22" s="51">
        <v>9.6948308907252692</v>
      </c>
      <c r="GK22" s="51">
        <v>9.6218914862522809</v>
      </c>
      <c r="GL22" s="51">
        <v>9.1289993816066008</v>
      </c>
      <c r="GM22" s="51">
        <v>9.0794239514447792</v>
      </c>
      <c r="GN22" s="51">
        <v>9.0272089681325305</v>
      </c>
      <c r="GO22" s="56">
        <v>8.9881273166011297</v>
      </c>
      <c r="GP22" s="56">
        <v>8.8510849334058701</v>
      </c>
      <c r="GQ22" s="56">
        <v>8.7205290716905708</v>
      </c>
      <c r="GR22" s="56">
        <v>8.6323659003721591</v>
      </c>
      <c r="GS22" s="56">
        <v>9.4325808682500298</v>
      </c>
      <c r="GT22" s="56">
        <v>9.3925864163230806</v>
      </c>
      <c r="GU22" s="56">
        <v>9.2890563772701498</v>
      </c>
      <c r="GV22" s="56">
        <v>9.2845977079510007</v>
      </c>
      <c r="GW22" s="56">
        <v>9.6057986405726901</v>
      </c>
      <c r="GX22" s="56">
        <v>9.2637482366050001</v>
      </c>
      <c r="GY22" s="56">
        <v>9.2637482366050001</v>
      </c>
      <c r="GZ22" s="56">
        <v>9.6620886835591797</v>
      </c>
      <c r="HA22" s="56">
        <v>9.9285049866881199</v>
      </c>
      <c r="HB22" s="56">
        <v>10.1341638853362</v>
      </c>
      <c r="HC22" s="56">
        <v>10.531945800602999</v>
      </c>
      <c r="HD22" s="56">
        <v>10.5076994636814</v>
      </c>
      <c r="HE22" s="56">
        <v>10.4916242034645</v>
      </c>
      <c r="HF22" s="56">
        <v>10.4152455600822</v>
      </c>
      <c r="HG22" s="56">
        <v>10.296551942945401</v>
      </c>
      <c r="HH22" s="56">
        <v>10.352675535647499</v>
      </c>
      <c r="HI22" s="56">
        <v>10.286975248305501</v>
      </c>
      <c r="HJ22" s="56">
        <v>9.9530095285158495</v>
      </c>
      <c r="HK22" s="56">
        <v>9.9049539171499603</v>
      </c>
      <c r="HL22" s="56">
        <v>9.9051904445947105</v>
      </c>
      <c r="HM22" s="56">
        <v>9.7596342518566193</v>
      </c>
      <c r="HN22" s="56">
        <v>9.7409344730983403</v>
      </c>
      <c r="HO22" s="56">
        <v>9.6900112648814201</v>
      </c>
      <c r="HP22" s="56">
        <v>9.3643677535935694</v>
      </c>
      <c r="HQ22" s="56">
        <v>9.3939088422105606</v>
      </c>
      <c r="HR22" s="56">
        <v>9.3658874350420298</v>
      </c>
      <c r="HS22" s="56">
        <v>9.4644705399270208</v>
      </c>
      <c r="HT22" s="56">
        <v>9.4148752194804093</v>
      </c>
      <c r="HU22" s="56">
        <v>9.0761120793728001</v>
      </c>
      <c r="HV22" s="56">
        <v>9.0593947690487209</v>
      </c>
      <c r="HW22" s="56">
        <v>9.0503574949119798</v>
      </c>
      <c r="HX22" s="56">
        <v>8.0819756147886999</v>
      </c>
      <c r="HY22" s="56">
        <v>8.1223117673275897</v>
      </c>
      <c r="HZ22" s="56">
        <v>8.0907459432545608</v>
      </c>
      <c r="IA22" s="56">
        <v>8.0819697798699508</v>
      </c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</row>
    <row r="23" spans="1:451">
      <c r="A23" s="20"/>
      <c r="B23" s="21" t="s">
        <v>199</v>
      </c>
      <c r="C23" s="20"/>
      <c r="D23" s="5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GE23" s="53"/>
      <c r="GG23" s="52"/>
      <c r="GO23" s="50"/>
      <c r="GS23" s="50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</row>
    <row r="24" spans="1:451">
      <c r="A24" s="20" t="s">
        <v>252</v>
      </c>
      <c r="B24" s="33" t="s">
        <v>200</v>
      </c>
      <c r="C24" s="20" t="s">
        <v>252</v>
      </c>
      <c r="D24" s="53">
        <v>14.91</v>
      </c>
      <c r="E24" s="46">
        <v>15.55</v>
      </c>
      <c r="F24" s="46">
        <v>16.03</v>
      </c>
      <c r="G24" s="46">
        <v>15.34</v>
      </c>
      <c r="H24" s="46">
        <v>15.69</v>
      </c>
      <c r="I24" s="46">
        <v>16.190000000000001</v>
      </c>
      <c r="J24" s="46">
        <v>15.74</v>
      </c>
      <c r="K24" s="46">
        <v>16.329999999999998</v>
      </c>
      <c r="L24" s="46">
        <v>15.97</v>
      </c>
      <c r="M24" s="46">
        <v>15.81</v>
      </c>
      <c r="N24" s="46">
        <v>15.660094178342705</v>
      </c>
      <c r="O24" s="46">
        <v>15.573715104518687</v>
      </c>
      <c r="P24" s="46">
        <v>15.624518162033617</v>
      </c>
      <c r="Q24" s="46">
        <v>15.144352743166559</v>
      </c>
      <c r="R24" s="46">
        <v>15.540641253059201</v>
      </c>
      <c r="S24" s="46">
        <v>16.033045886478778</v>
      </c>
      <c r="T24" s="46">
        <v>15.74050820202392</v>
      </c>
      <c r="U24" s="46">
        <v>15.843438145856622</v>
      </c>
      <c r="V24" s="46">
        <v>15.83</v>
      </c>
      <c r="W24" s="46">
        <v>15.848713303456487</v>
      </c>
      <c r="X24" s="46">
        <v>16.045133774254037</v>
      </c>
      <c r="Y24" s="46">
        <v>16.308161770610234</v>
      </c>
      <c r="Z24" s="46">
        <v>16.247945830899106</v>
      </c>
      <c r="AA24" s="46">
        <v>16.307296177720321</v>
      </c>
      <c r="AB24" s="46">
        <v>16.317944940218538</v>
      </c>
      <c r="AC24" s="46">
        <v>16.498405055180786</v>
      </c>
      <c r="AD24" s="46">
        <v>16.231999999999999</v>
      </c>
      <c r="AE24" s="46">
        <v>16.32</v>
      </c>
      <c r="AF24" s="46">
        <v>15.279164069508514</v>
      </c>
      <c r="AG24" s="46">
        <v>15.46</v>
      </c>
      <c r="AH24" s="46">
        <v>15.460662861873637</v>
      </c>
      <c r="AI24" s="46">
        <v>15.632173699763165</v>
      </c>
      <c r="AJ24" s="46">
        <v>16.846220519952738</v>
      </c>
      <c r="AK24" s="46">
        <v>16.905527320365511</v>
      </c>
      <c r="AL24" s="46">
        <v>17.059301922599047</v>
      </c>
      <c r="AM24" s="46">
        <v>17.14788739472149</v>
      </c>
      <c r="AN24" s="46">
        <v>17.459787107169252</v>
      </c>
      <c r="AO24" s="46">
        <v>16.969291478520621</v>
      </c>
      <c r="AP24" s="46">
        <v>17.490891702654732</v>
      </c>
      <c r="AQ24" s="46">
        <v>17.618902764485131</v>
      </c>
      <c r="AR24" s="46">
        <v>17.711993321030384</v>
      </c>
      <c r="AS24" s="46">
        <v>17.889375222893587</v>
      </c>
      <c r="AT24" s="46">
        <v>17.935064714117512</v>
      </c>
      <c r="AU24" s="46">
        <v>17.761918774534031</v>
      </c>
      <c r="AV24" s="46">
        <v>18.21</v>
      </c>
      <c r="AW24" s="46">
        <v>18.218587417169033</v>
      </c>
      <c r="AX24" s="46">
        <v>18.245787027020071</v>
      </c>
      <c r="AY24" s="46">
        <v>17.987652089875287</v>
      </c>
      <c r="AZ24" s="46">
        <v>18.07621126911986</v>
      </c>
      <c r="BA24" s="46">
        <v>17.45431429121518</v>
      </c>
      <c r="BB24" s="46">
        <v>18.746218966327877</v>
      </c>
      <c r="BC24" s="46">
        <v>17.36686787695125</v>
      </c>
      <c r="BD24" s="46">
        <v>17.422363398333648</v>
      </c>
      <c r="BE24" s="46">
        <v>16.246109449910353</v>
      </c>
      <c r="BF24" s="46">
        <v>17.1237151174149</v>
      </c>
      <c r="BG24" s="46">
        <v>17.116687412680399</v>
      </c>
      <c r="BH24" s="46">
        <v>15.335169811558794</v>
      </c>
      <c r="BI24" s="46">
        <v>14.859023296481148</v>
      </c>
      <c r="BJ24" s="46">
        <v>14.627108948242133</v>
      </c>
      <c r="BK24" s="46">
        <v>16.229813262683688</v>
      </c>
      <c r="BL24" s="46">
        <v>14.649243154767603</v>
      </c>
      <c r="BM24" s="46">
        <v>15.919293745442129</v>
      </c>
      <c r="BN24" s="46">
        <v>13.968857974689483</v>
      </c>
      <c r="BO24" s="46">
        <v>15.84396466011931</v>
      </c>
      <c r="BP24" s="46">
        <v>13.991928791910272</v>
      </c>
      <c r="BQ24" s="46">
        <v>14.173572547774807</v>
      </c>
      <c r="BR24" s="46">
        <v>15.878450246125061</v>
      </c>
      <c r="BS24" s="46">
        <v>16.064191812801305</v>
      </c>
      <c r="BT24" s="46">
        <v>15.93</v>
      </c>
      <c r="BU24" s="46">
        <v>15.851069946624934</v>
      </c>
      <c r="BV24" s="46">
        <v>14.095897205126503</v>
      </c>
      <c r="BW24" s="46">
        <v>14.05713661455748</v>
      </c>
      <c r="BX24" s="46">
        <v>13.660643929492656</v>
      </c>
      <c r="BY24" s="46">
        <v>16.367472368344515</v>
      </c>
      <c r="BZ24" s="46">
        <v>16.398350139113926</v>
      </c>
      <c r="CA24" s="46">
        <v>16.434529377131494</v>
      </c>
      <c r="CB24" s="46">
        <v>16.405849594011013</v>
      </c>
      <c r="CC24" s="46">
        <v>16.540886222281376</v>
      </c>
      <c r="CD24" s="46">
        <v>16.497870378663549</v>
      </c>
      <c r="CE24" s="46">
        <v>16.385000049473145</v>
      </c>
      <c r="CF24" s="46">
        <v>16.3955203624935</v>
      </c>
      <c r="CG24" s="46">
        <v>16.186950927827066</v>
      </c>
      <c r="CH24" s="46">
        <v>16.07281516172721</v>
      </c>
      <c r="CI24" s="46">
        <v>16.207579544429226</v>
      </c>
      <c r="CJ24" s="46">
        <v>16.238466427104793</v>
      </c>
      <c r="CK24" s="46">
        <v>16.26791580416263</v>
      </c>
      <c r="CL24" s="46">
        <v>16.244263301641077</v>
      </c>
      <c r="CM24" s="46">
        <v>16.170712402345679</v>
      </c>
      <c r="CN24" s="46">
        <v>16.088610597771925</v>
      </c>
      <c r="CO24" s="46">
        <v>16.04509213356507</v>
      </c>
      <c r="CP24" s="46">
        <v>15.993191353610388</v>
      </c>
      <c r="CQ24" s="46">
        <v>15.65159815388148</v>
      </c>
      <c r="CR24" s="46">
        <v>15.605827807097635</v>
      </c>
      <c r="CS24" s="46">
        <v>15.386542759202586</v>
      </c>
      <c r="CT24" s="46">
        <v>15.427573653039792</v>
      </c>
      <c r="CU24" s="46">
        <v>15.214407382672235</v>
      </c>
      <c r="CV24" s="46">
        <v>15.135070998448523</v>
      </c>
      <c r="CW24" s="46">
        <v>15.199658989674417</v>
      </c>
      <c r="CX24" s="46">
        <v>15.352173661952207</v>
      </c>
      <c r="CY24" s="46">
        <v>14.982227881414623</v>
      </c>
      <c r="CZ24" s="46">
        <v>14.852139348537825</v>
      </c>
      <c r="DA24" s="46">
        <v>13.903563671204541</v>
      </c>
      <c r="DB24" s="46">
        <v>14.186019186671386</v>
      </c>
      <c r="DC24" s="46">
        <v>14.207734300434527</v>
      </c>
      <c r="DD24" s="46">
        <v>14.333198892689472</v>
      </c>
      <c r="DE24" s="46">
        <v>14.255088315670614</v>
      </c>
      <c r="DF24" s="46">
        <v>14.142315161796645</v>
      </c>
      <c r="DG24" s="46">
        <v>14.332285034730189</v>
      </c>
      <c r="DH24" s="46">
        <v>14.444365886076246</v>
      </c>
      <c r="DI24" s="46">
        <v>14.12954858726828</v>
      </c>
      <c r="DJ24" s="46">
        <v>14.159939798981696</v>
      </c>
      <c r="DK24" s="46">
        <v>14.471831469653909</v>
      </c>
      <c r="DL24" s="46">
        <v>14.452596758088932</v>
      </c>
      <c r="DM24" s="46">
        <v>14.195979534287781</v>
      </c>
      <c r="DN24" s="46">
        <v>14.054465364110834</v>
      </c>
      <c r="DO24" s="46">
        <v>14.130668674924213</v>
      </c>
      <c r="DP24" s="46">
        <v>14.355794281446773</v>
      </c>
      <c r="DQ24" s="46">
        <v>14.30666743385961</v>
      </c>
      <c r="DR24" s="46">
        <v>14.330010278905917</v>
      </c>
      <c r="DS24" s="46">
        <v>14.14289476620884</v>
      </c>
      <c r="DT24" s="46">
        <v>13.843773750816332</v>
      </c>
      <c r="DU24" s="46">
        <v>13.808868012021472</v>
      </c>
      <c r="DV24" s="46">
        <v>13.71</v>
      </c>
      <c r="DW24" s="46">
        <v>14.153858707174011</v>
      </c>
      <c r="DX24" s="46">
        <v>14.021275620711668</v>
      </c>
      <c r="DY24" s="46">
        <v>14.1437579153783</v>
      </c>
      <c r="DZ24" s="46">
        <v>14.0488538252864</v>
      </c>
      <c r="EA24" s="46">
        <v>13.980289910414932</v>
      </c>
      <c r="EB24" s="46">
        <v>13.97274343340783</v>
      </c>
      <c r="EC24" s="46">
        <v>13.724812367305937</v>
      </c>
      <c r="ED24" s="46">
        <v>14.006055030653629</v>
      </c>
      <c r="EE24" s="46">
        <v>13.231646503781795</v>
      </c>
      <c r="EF24" s="46">
        <v>13.760474507383361</v>
      </c>
      <c r="EG24" s="46">
        <v>13.600373857141348</v>
      </c>
      <c r="EH24" s="46">
        <v>13.359451901813932</v>
      </c>
      <c r="EI24" s="46">
        <v>13.168994119156967</v>
      </c>
      <c r="EJ24" s="46">
        <v>12.894417055549514</v>
      </c>
      <c r="EK24" s="46">
        <v>12.853397682452025</v>
      </c>
      <c r="EL24" s="46">
        <v>12.431248436857066</v>
      </c>
      <c r="EM24" s="46">
        <v>12.528858752502991</v>
      </c>
      <c r="EN24" s="46">
        <v>12.371364974218517</v>
      </c>
      <c r="EO24" s="46">
        <v>12.281606105064469</v>
      </c>
      <c r="EP24" s="46">
        <v>12.420827960656089</v>
      </c>
      <c r="EQ24" s="46">
        <v>12.24245255750518</v>
      </c>
      <c r="ER24" s="46">
        <v>12.177118423039293</v>
      </c>
      <c r="ES24" s="46">
        <v>12.048431932291406</v>
      </c>
      <c r="ET24" s="46">
        <v>12.282084805162686</v>
      </c>
      <c r="EU24" s="46">
        <v>12.418231200203579</v>
      </c>
      <c r="EV24" s="46">
        <v>12.312406604682932</v>
      </c>
      <c r="EW24" s="46">
        <v>12.257155937105571</v>
      </c>
      <c r="EX24" s="46">
        <v>12.341069952506954</v>
      </c>
      <c r="EY24" s="46">
        <v>12.399430281535551</v>
      </c>
      <c r="EZ24" s="46">
        <v>12.895889177218228</v>
      </c>
      <c r="FA24" s="46">
        <v>12.995620427702622</v>
      </c>
      <c r="FB24" s="46">
        <v>12.995245415099307</v>
      </c>
      <c r="FC24" s="46">
        <v>13.140363724493358</v>
      </c>
      <c r="FD24" s="46">
        <v>13.091153752203144</v>
      </c>
      <c r="FE24" s="46">
        <v>13.198633658661837</v>
      </c>
      <c r="FF24" s="46">
        <v>13.348650015168376</v>
      </c>
      <c r="FG24" s="46">
        <v>13.449441435697704</v>
      </c>
      <c r="FH24" s="46">
        <v>13.453746777445286</v>
      </c>
      <c r="FI24" s="46">
        <v>13.568419497425497</v>
      </c>
      <c r="FJ24" s="46">
        <v>13.649195925723925</v>
      </c>
      <c r="FK24" s="46">
        <v>13.693684554332277</v>
      </c>
      <c r="FL24" s="46">
        <v>13.798637432398438</v>
      </c>
      <c r="FM24" s="46">
        <v>13.968477456461809</v>
      </c>
      <c r="FN24" s="46">
        <v>14.21221168216365</v>
      </c>
      <c r="FO24" s="53">
        <v>14.286632379994678</v>
      </c>
      <c r="FP24" s="46">
        <v>14.171954221691067</v>
      </c>
      <c r="FQ24" s="46">
        <v>14.236260835604245</v>
      </c>
      <c r="FR24" s="46">
        <v>14.404272320573504</v>
      </c>
      <c r="FS24" s="48">
        <v>14.420537172106807</v>
      </c>
      <c r="FT24" s="48">
        <v>14.222564088661191</v>
      </c>
      <c r="FU24" s="48">
        <v>14.341311177842675</v>
      </c>
      <c r="FV24" s="48">
        <v>14.325751298429143</v>
      </c>
      <c r="FW24" s="48">
        <v>14.283356114072612</v>
      </c>
      <c r="FX24" s="48">
        <v>14.302674679636352</v>
      </c>
      <c r="FY24" s="48">
        <v>14.365706895660381</v>
      </c>
      <c r="FZ24" s="49">
        <v>14.343855799530733</v>
      </c>
      <c r="GA24" s="49">
        <v>14.34</v>
      </c>
      <c r="GB24" s="48">
        <v>14.179135971556015</v>
      </c>
      <c r="GC24" s="48">
        <v>13.918693008487949</v>
      </c>
      <c r="GD24" s="48">
        <v>13.956081277680982</v>
      </c>
      <c r="GE24" s="53">
        <v>13.89574269687045</v>
      </c>
      <c r="GF24" s="53">
        <v>13.793960629317144</v>
      </c>
      <c r="GG24" s="52">
        <v>13.624087704174523</v>
      </c>
      <c r="GH24" s="52">
        <v>13.661859286719899</v>
      </c>
      <c r="GI24" s="50">
        <v>13.6656940087032</v>
      </c>
      <c r="GJ24" s="50">
        <v>13.6312557532956</v>
      </c>
      <c r="GK24" s="50">
        <v>13.659397918726301</v>
      </c>
      <c r="GL24" s="50">
        <v>13.688810182492301</v>
      </c>
      <c r="GM24" s="50">
        <v>13.6043675595316</v>
      </c>
      <c r="GN24" s="50">
        <v>13.670802410910699</v>
      </c>
      <c r="GO24" s="50">
        <v>13.6861695482852</v>
      </c>
      <c r="GP24" s="50">
        <v>13.7070807907042</v>
      </c>
      <c r="GQ24" s="50">
        <v>13.746083103206001</v>
      </c>
      <c r="GR24" s="50">
        <v>13.8152474944816</v>
      </c>
      <c r="GS24" s="50">
        <v>13.862310752869201</v>
      </c>
      <c r="GT24" s="50">
        <v>13.8988634378667</v>
      </c>
      <c r="GU24" s="50">
        <v>13.939897742794001</v>
      </c>
      <c r="GV24" s="50">
        <v>14.0442654455398</v>
      </c>
      <c r="GW24" s="50">
        <v>14.155290109759401</v>
      </c>
      <c r="GX24" s="50">
        <v>14.271304132484101</v>
      </c>
      <c r="GY24" s="50">
        <v>14.271304132484101</v>
      </c>
      <c r="GZ24" s="50">
        <v>14.3321644542655</v>
      </c>
      <c r="HA24" s="50">
        <v>14.352115803765001</v>
      </c>
      <c r="HB24" s="50">
        <v>14.3310402994173</v>
      </c>
      <c r="HC24" s="50">
        <v>14.382187028067801</v>
      </c>
      <c r="HD24" s="50">
        <v>14.305857719264299</v>
      </c>
      <c r="HE24" s="50">
        <v>14.2774216015181</v>
      </c>
      <c r="HF24" s="50">
        <v>14.2377509306829</v>
      </c>
      <c r="HG24" s="50">
        <v>14.260917119873</v>
      </c>
      <c r="HH24" s="50">
        <v>14.3128395174397</v>
      </c>
      <c r="HI24" s="50">
        <v>14.338801406616501</v>
      </c>
      <c r="HJ24" s="50">
        <v>14.3701699474127</v>
      </c>
      <c r="HK24" s="50">
        <v>14.335881751814799</v>
      </c>
      <c r="HL24" s="50">
        <v>14.2918884557726</v>
      </c>
      <c r="HM24" s="50">
        <v>14.207878821486499</v>
      </c>
      <c r="HN24" s="50">
        <v>14.134652366376301</v>
      </c>
      <c r="HO24" s="50">
        <v>14.240136785732799</v>
      </c>
      <c r="HP24" s="50">
        <v>14.261356666204</v>
      </c>
      <c r="HQ24" s="50">
        <v>14.270831109008901</v>
      </c>
      <c r="HR24" s="50">
        <v>14.2782569264246</v>
      </c>
      <c r="HS24" s="50">
        <v>14.3153650938346</v>
      </c>
      <c r="HT24" s="50">
        <v>14.2813789909953</v>
      </c>
      <c r="HU24" s="50">
        <v>14.2711393574337</v>
      </c>
      <c r="HV24" s="50">
        <v>14.2929304423752</v>
      </c>
      <c r="HW24" s="50">
        <v>14.294579006932</v>
      </c>
      <c r="HX24" s="50">
        <v>14.3791481058988</v>
      </c>
      <c r="HY24" s="50">
        <v>14.343184466366299</v>
      </c>
      <c r="HZ24" s="50">
        <v>14.305827657062901</v>
      </c>
      <c r="IA24" s="50">
        <v>14.3842546942286</v>
      </c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</row>
    <row r="25" spans="1:451">
      <c r="A25" s="20" t="s">
        <v>253</v>
      </c>
      <c r="B25" s="33" t="s">
        <v>201</v>
      </c>
      <c r="C25" s="20" t="s">
        <v>253</v>
      </c>
      <c r="D25" s="53">
        <v>15.04</v>
      </c>
      <c r="E25" s="46">
        <v>16.059999999999999</v>
      </c>
      <c r="F25" s="46">
        <v>16.32</v>
      </c>
      <c r="G25" s="46">
        <v>15.22</v>
      </c>
      <c r="H25" s="46">
        <v>15.53</v>
      </c>
      <c r="I25" s="46">
        <v>15.95</v>
      </c>
      <c r="J25" s="46">
        <v>15.17</v>
      </c>
      <c r="K25" s="46">
        <v>15.4</v>
      </c>
      <c r="L25" s="46">
        <v>14.88</v>
      </c>
      <c r="M25" s="46">
        <v>14.8</v>
      </c>
      <c r="N25" s="46">
        <v>14.960336743803863</v>
      </c>
      <c r="O25" s="46">
        <v>15.078683665722473</v>
      </c>
      <c r="P25" s="46">
        <v>14.782822943258052</v>
      </c>
      <c r="Q25" s="46">
        <v>14.358888795352891</v>
      </c>
      <c r="R25" s="46">
        <v>14.583627497138178</v>
      </c>
      <c r="S25" s="46">
        <v>14.990661647203023</v>
      </c>
      <c r="T25" s="46">
        <v>14.753087078779707</v>
      </c>
      <c r="U25" s="46">
        <v>14.770511569533927</v>
      </c>
      <c r="V25" s="46">
        <v>14.52</v>
      </c>
      <c r="W25" s="46">
        <v>14.465544119024944</v>
      </c>
      <c r="X25" s="46">
        <v>14.74296659308003</v>
      </c>
      <c r="Y25" s="46">
        <v>14.888638408100737</v>
      </c>
      <c r="Z25" s="46">
        <v>14.762258523511882</v>
      </c>
      <c r="AA25" s="46">
        <v>14.856727930431928</v>
      </c>
      <c r="AB25" s="46">
        <v>14.747894136255614</v>
      </c>
      <c r="AC25" s="46">
        <v>14.890413977526155</v>
      </c>
      <c r="AD25" s="46">
        <v>14.91</v>
      </c>
      <c r="AE25" s="46">
        <v>14.96</v>
      </c>
      <c r="AF25" s="46">
        <v>13.55</v>
      </c>
      <c r="AG25" s="46">
        <v>13.93</v>
      </c>
      <c r="AH25" s="46">
        <v>13.95282793777667</v>
      </c>
      <c r="AI25" s="46">
        <v>14.092365100433824</v>
      </c>
      <c r="AJ25" s="46">
        <v>15.571299039129764</v>
      </c>
      <c r="AK25" s="46">
        <v>15.428389432473287</v>
      </c>
      <c r="AL25" s="46">
        <v>15.327822139836409</v>
      </c>
      <c r="AM25" s="46">
        <v>15.823324881623162</v>
      </c>
      <c r="AN25" s="46">
        <v>15.790124614856721</v>
      </c>
      <c r="AO25" s="46">
        <v>15.126338918854209</v>
      </c>
      <c r="AP25" s="46">
        <v>15.786021916883252</v>
      </c>
      <c r="AQ25" s="46">
        <v>15.724328348987628</v>
      </c>
      <c r="AR25" s="46">
        <v>15.847810282829984</v>
      </c>
      <c r="AS25" s="46">
        <v>16.01048049209755</v>
      </c>
      <c r="AT25" s="46">
        <v>15.864548329663773</v>
      </c>
      <c r="AU25" s="46">
        <v>15.552954809268208</v>
      </c>
      <c r="AV25" s="46">
        <v>15.95</v>
      </c>
      <c r="AW25" s="46">
        <v>16.00336686477953</v>
      </c>
      <c r="AX25" s="46">
        <v>16.103072287214601</v>
      </c>
      <c r="AY25" s="46">
        <v>15.924630734453254</v>
      </c>
      <c r="AZ25" s="46">
        <v>15.880779409119015</v>
      </c>
      <c r="BA25" s="46">
        <v>14.868187332058014</v>
      </c>
      <c r="BB25" s="46">
        <v>16.435806353425015</v>
      </c>
      <c r="BC25" s="46">
        <v>14.70252367966545</v>
      </c>
      <c r="BD25" s="46">
        <v>14.803775306682541</v>
      </c>
      <c r="BE25" s="46">
        <v>13.434450885015975</v>
      </c>
      <c r="BF25" s="46">
        <v>14.784686873121705</v>
      </c>
      <c r="BG25" s="46">
        <v>14.801566168412959</v>
      </c>
      <c r="BH25" s="46">
        <v>12.741690278834879</v>
      </c>
      <c r="BI25" s="46">
        <v>12.484725772428783</v>
      </c>
      <c r="BJ25" s="46">
        <v>12.145588154385962</v>
      </c>
      <c r="BK25" s="46">
        <v>14.399256201955616</v>
      </c>
      <c r="BL25" s="46">
        <v>12.276878861734627</v>
      </c>
      <c r="BM25" s="46">
        <v>14.141925484423041</v>
      </c>
      <c r="BN25" s="46">
        <v>11.509798212270905</v>
      </c>
      <c r="BO25" s="46">
        <v>13.878040715237143</v>
      </c>
      <c r="BP25" s="46">
        <v>11.600618057211353</v>
      </c>
      <c r="BQ25" s="46">
        <v>11.715234410801468</v>
      </c>
      <c r="BR25" s="46">
        <v>14.142118056979687</v>
      </c>
      <c r="BS25" s="46">
        <v>14.46192000915344</v>
      </c>
      <c r="BT25" s="46">
        <v>14.37</v>
      </c>
      <c r="BU25" s="46">
        <v>14.293276887853716</v>
      </c>
      <c r="BV25" s="46">
        <v>11.765196767958409</v>
      </c>
      <c r="BW25" s="46">
        <v>11.734998851089355</v>
      </c>
      <c r="BX25" s="46">
        <v>11.247447930289878</v>
      </c>
      <c r="BY25" s="46">
        <v>14.403041693924806</v>
      </c>
      <c r="BZ25" s="46">
        <v>14.396360380629934</v>
      </c>
      <c r="CA25" s="46">
        <v>14.462679558410146</v>
      </c>
      <c r="CB25" s="46">
        <v>14.404443946595784</v>
      </c>
      <c r="CC25" s="46">
        <v>14.61445734554359</v>
      </c>
      <c r="CD25" s="46">
        <v>14.472513939719979</v>
      </c>
      <c r="CE25" s="46">
        <v>14.433786995234053</v>
      </c>
      <c r="CF25" s="46">
        <v>14.410742663328506</v>
      </c>
      <c r="CG25" s="46">
        <v>14.29588854956431</v>
      </c>
      <c r="CH25" s="46">
        <v>14.423567087656521</v>
      </c>
      <c r="CI25" s="46">
        <v>14.368564616009802</v>
      </c>
      <c r="CJ25" s="46">
        <v>14.475815203859959</v>
      </c>
      <c r="CK25" s="46">
        <v>14.534148101710628</v>
      </c>
      <c r="CL25" s="46">
        <v>14.556390559391808</v>
      </c>
      <c r="CM25" s="46">
        <v>14.506534682982378</v>
      </c>
      <c r="CN25" s="46">
        <v>14.462300776026389</v>
      </c>
      <c r="CO25" s="46">
        <v>14.364903595049825</v>
      </c>
      <c r="CP25" s="46">
        <v>14.326806366384954</v>
      </c>
      <c r="CQ25" s="46">
        <v>13.739346577770059</v>
      </c>
      <c r="CR25" s="46">
        <v>13.630110596733077</v>
      </c>
      <c r="CS25" s="46">
        <v>13.313752694645366</v>
      </c>
      <c r="CT25" s="46">
        <v>13.465374692758541</v>
      </c>
      <c r="CU25" s="46">
        <v>13.119958095294493</v>
      </c>
      <c r="CV25" s="46">
        <v>13.058855529500985</v>
      </c>
      <c r="CW25" s="46">
        <v>13.318360730531515</v>
      </c>
      <c r="CX25" s="46">
        <v>13.31645310167421</v>
      </c>
      <c r="CY25" s="46">
        <v>12.460592993304703</v>
      </c>
      <c r="CZ25" s="46">
        <v>12.347882481298999</v>
      </c>
      <c r="DA25" s="46">
        <v>11.890687267188079</v>
      </c>
      <c r="DB25" s="46">
        <v>11.645329956977179</v>
      </c>
      <c r="DC25" s="46">
        <v>11.597030533688095</v>
      </c>
      <c r="DD25" s="46">
        <v>11.471037494256018</v>
      </c>
      <c r="DE25" s="46">
        <v>11.447213202928442</v>
      </c>
      <c r="DF25" s="46">
        <v>11.369739918976656</v>
      </c>
      <c r="DG25" s="46">
        <v>11.402323744609486</v>
      </c>
      <c r="DH25" s="46">
        <v>11.567439655402302</v>
      </c>
      <c r="DI25" s="46">
        <v>11.518096241727724</v>
      </c>
      <c r="DJ25" s="46">
        <v>10.981378957686037</v>
      </c>
      <c r="DK25" s="46">
        <v>11.455695670771247</v>
      </c>
      <c r="DL25" s="46">
        <v>11.574116514726382</v>
      </c>
      <c r="DM25" s="46">
        <v>11.352062452356964</v>
      </c>
      <c r="DN25" s="46">
        <v>10.711090522276931</v>
      </c>
      <c r="DO25" s="46">
        <v>10.889310526867034</v>
      </c>
      <c r="DP25" s="46">
        <v>11.094085488213903</v>
      </c>
      <c r="DQ25" s="46">
        <v>10.964768210721259</v>
      </c>
      <c r="DR25" s="46">
        <v>11.028540921189716</v>
      </c>
      <c r="DS25" s="46">
        <v>10.637204690530625</v>
      </c>
      <c r="DT25" s="46">
        <v>10.122169963883403</v>
      </c>
      <c r="DU25" s="46">
        <v>9.9850939385958775</v>
      </c>
      <c r="DV25" s="46">
        <v>9.74</v>
      </c>
      <c r="DW25" s="46">
        <v>9.7773087459297408</v>
      </c>
      <c r="DX25" s="46">
        <v>9.7545381680927328</v>
      </c>
      <c r="DY25" s="46">
        <v>9.7248828795689768</v>
      </c>
      <c r="DZ25" s="46">
        <v>9.7632063476693443</v>
      </c>
      <c r="EA25" s="46">
        <v>9.890732199049376</v>
      </c>
      <c r="EB25" s="46">
        <v>9.8725802988422569</v>
      </c>
      <c r="EC25" s="46">
        <v>9.9419813293836796</v>
      </c>
      <c r="ED25" s="46">
        <v>9.9684952941822331</v>
      </c>
      <c r="EE25" s="46">
        <v>9.0008801905493616</v>
      </c>
      <c r="EF25" s="46">
        <v>9.9192271023470688</v>
      </c>
      <c r="EG25" s="46">
        <v>9.7226726185170289</v>
      </c>
      <c r="EH25" s="46">
        <v>9.247802496088422</v>
      </c>
      <c r="EI25" s="46">
        <v>9.184192378246463</v>
      </c>
      <c r="EJ25" s="46">
        <v>8.8366158345621031</v>
      </c>
      <c r="EK25" s="46">
        <v>8.8423561076465163</v>
      </c>
      <c r="EL25" s="46">
        <v>8.2766571349243883</v>
      </c>
      <c r="EM25" s="46">
        <v>8.5024571265920788</v>
      </c>
      <c r="EN25" s="46">
        <v>8.1456911307506026</v>
      </c>
      <c r="EO25" s="46">
        <v>8.1965405483745606</v>
      </c>
      <c r="EP25" s="46">
        <v>8.3001068005549339</v>
      </c>
      <c r="EQ25" s="46">
        <v>8.3266166003200137</v>
      </c>
      <c r="ER25" s="46">
        <v>8.364858814733088</v>
      </c>
      <c r="ES25" s="46">
        <v>8.5538532301999499</v>
      </c>
      <c r="ET25" s="46">
        <v>8.796498087587878</v>
      </c>
      <c r="EU25" s="46">
        <v>8.8597670811891618</v>
      </c>
      <c r="EV25" s="46">
        <v>8.7742820941451587</v>
      </c>
      <c r="EW25" s="46">
        <v>8.7461552325241012</v>
      </c>
      <c r="EX25" s="46">
        <v>8.906541098324098</v>
      </c>
      <c r="EY25" s="46">
        <v>8.8241240612898793</v>
      </c>
      <c r="EZ25" s="46">
        <v>9.0688244398131488</v>
      </c>
      <c r="FA25" s="46">
        <v>9.0206028895049499</v>
      </c>
      <c r="FB25" s="46">
        <v>8.9791190567734507</v>
      </c>
      <c r="FC25" s="46">
        <v>8.9860709421420193</v>
      </c>
      <c r="FD25" s="46">
        <v>8.8238824231999793</v>
      </c>
      <c r="FE25" s="46">
        <v>8.9123874442705908</v>
      </c>
      <c r="FF25" s="46">
        <v>8.9361182943092565</v>
      </c>
      <c r="FG25" s="46">
        <v>9.0115579349819654</v>
      </c>
      <c r="FH25" s="46">
        <v>8.8743764457821399</v>
      </c>
      <c r="FI25" s="46">
        <v>8.8087999828200818</v>
      </c>
      <c r="FJ25" s="46">
        <v>8.7829361672723287</v>
      </c>
      <c r="FK25" s="46">
        <v>8.7623698234549625</v>
      </c>
      <c r="FL25" s="46">
        <v>8.820729662054589</v>
      </c>
      <c r="FM25" s="46">
        <v>8.8490669848200696</v>
      </c>
      <c r="FN25" s="46">
        <v>9.0264307537051174</v>
      </c>
      <c r="FO25" s="46">
        <v>9.0329647913186903</v>
      </c>
      <c r="FP25" s="46">
        <v>9.1536373869374437</v>
      </c>
      <c r="FQ25" s="46">
        <v>9.2982458318919186</v>
      </c>
      <c r="FR25" s="46">
        <v>9.3113559255782441</v>
      </c>
      <c r="FS25" s="47">
        <v>9.3283540338232562</v>
      </c>
      <c r="FT25" s="48">
        <v>9.2811410825377383</v>
      </c>
      <c r="FU25" s="48">
        <v>9.3110151299004702</v>
      </c>
      <c r="FV25" s="48">
        <v>9.1932002841408949</v>
      </c>
      <c r="FW25" s="48">
        <v>9.0067183481573387</v>
      </c>
      <c r="FX25" s="48">
        <v>9.1020207263385124</v>
      </c>
      <c r="FY25" s="48">
        <v>9.1172806853422248</v>
      </c>
      <c r="FZ25" s="48">
        <v>9.1033232248527618</v>
      </c>
      <c r="GA25" s="48">
        <v>9.0660671223202787</v>
      </c>
      <c r="GB25" s="48">
        <v>8.9702644734261519</v>
      </c>
      <c r="GC25" s="48">
        <v>8.7971889664325502</v>
      </c>
      <c r="GD25" s="48">
        <v>8.8001508028622677</v>
      </c>
      <c r="GE25" s="53">
        <v>8.7994555338498035</v>
      </c>
      <c r="GF25" s="53">
        <v>8.8243594084254031</v>
      </c>
      <c r="GG25" s="52">
        <v>8.5756840617809189</v>
      </c>
      <c r="GH25" s="52">
        <v>8.7222880253276607</v>
      </c>
      <c r="GI25" s="52">
        <v>8.7130031325285699</v>
      </c>
      <c r="GJ25" s="50">
        <v>8.7936553260004402</v>
      </c>
      <c r="GK25" s="50">
        <v>8.7747090599066198</v>
      </c>
      <c r="GL25" s="50">
        <v>8.8046663082494607</v>
      </c>
      <c r="GM25" s="50">
        <v>8.7964019349491007</v>
      </c>
      <c r="GN25" s="50">
        <v>9.1441873085030192</v>
      </c>
      <c r="GO25" s="50">
        <v>9.27444701343369</v>
      </c>
      <c r="GP25" s="50">
        <v>9.3698452320080694</v>
      </c>
      <c r="GQ25" s="50">
        <v>9.4046587595048603</v>
      </c>
      <c r="GR25" s="50">
        <v>9.7053868126368208</v>
      </c>
      <c r="GS25" s="50">
        <v>9.7160898326826004</v>
      </c>
      <c r="GT25" s="50">
        <v>9.7007504663912094</v>
      </c>
      <c r="GU25" s="50">
        <v>9.7052095913802194</v>
      </c>
      <c r="GV25" s="50">
        <v>9.6856194239834998</v>
      </c>
      <c r="GW25" s="50">
        <v>9.7896105667758508</v>
      </c>
      <c r="GX25" s="50">
        <v>9.8264732089148801</v>
      </c>
      <c r="GY25" s="50">
        <v>9.8264732089148801</v>
      </c>
      <c r="GZ25" s="50">
        <v>9.8749027665936406</v>
      </c>
      <c r="HA25" s="50">
        <v>9.8918428385847399</v>
      </c>
      <c r="HB25" s="50">
        <v>9.9776442080344001</v>
      </c>
      <c r="HC25" s="50">
        <v>10.047619206853099</v>
      </c>
      <c r="HD25" s="50">
        <v>10.0809905654903</v>
      </c>
      <c r="HE25" s="50">
        <v>10.1015936761764</v>
      </c>
      <c r="HF25" s="50">
        <v>10.107180807781299</v>
      </c>
      <c r="HG25" s="50">
        <v>10.196000714026599</v>
      </c>
      <c r="HH25" s="50">
        <v>10.231128765781</v>
      </c>
      <c r="HI25" s="50">
        <v>10.215514391532</v>
      </c>
      <c r="HJ25" s="50">
        <v>10.1730635909152</v>
      </c>
      <c r="HK25" s="50">
        <v>10.1407056288131</v>
      </c>
      <c r="HL25" s="50">
        <v>10.136114415135699</v>
      </c>
      <c r="HM25" s="50">
        <v>10.018859643690099</v>
      </c>
      <c r="HN25" s="50">
        <v>9.9934011387622093</v>
      </c>
      <c r="HO25" s="50">
        <v>9.9757930365206295</v>
      </c>
      <c r="HP25" s="50">
        <v>9.9775761935449108</v>
      </c>
      <c r="HQ25" s="50">
        <v>10.06903502752</v>
      </c>
      <c r="HR25" s="50">
        <v>10.126889060963499</v>
      </c>
      <c r="HS25" s="50">
        <v>10.112806990225801</v>
      </c>
      <c r="HT25" s="50">
        <v>10.1337634247843</v>
      </c>
      <c r="HU25" s="50">
        <v>10.1418851842379</v>
      </c>
      <c r="HV25" s="50">
        <v>10.1454909744968</v>
      </c>
      <c r="HW25" s="50">
        <v>10.151941197970499</v>
      </c>
      <c r="HX25" s="50">
        <v>10.181821052110401</v>
      </c>
      <c r="HY25" s="50">
        <v>10.1707714730976</v>
      </c>
      <c r="HZ25" s="50">
        <v>10.1405664301854</v>
      </c>
      <c r="IA25" s="50">
        <v>10.1448574928603</v>
      </c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</row>
    <row r="26" spans="1:451">
      <c r="A26" s="20" t="s">
        <v>254</v>
      </c>
      <c r="B26" s="33" t="s">
        <v>202</v>
      </c>
      <c r="C26" s="20" t="s">
        <v>254</v>
      </c>
      <c r="D26" s="53">
        <v>14.63</v>
      </c>
      <c r="E26" s="46">
        <v>14.22</v>
      </c>
      <c r="F26" s="46">
        <v>15.25</v>
      </c>
      <c r="G26" s="46">
        <v>15.6</v>
      </c>
      <c r="H26" s="46">
        <v>16.170000000000002</v>
      </c>
      <c r="I26" s="46">
        <v>16.96</v>
      </c>
      <c r="J26" s="46">
        <v>17.27</v>
      </c>
      <c r="K26" s="46">
        <v>18.649999999999999</v>
      </c>
      <c r="L26" s="46">
        <v>18.5</v>
      </c>
      <c r="M26" s="46">
        <v>18.28</v>
      </c>
      <c r="N26" s="46">
        <v>17.558325371205228</v>
      </c>
      <c r="O26" s="46">
        <v>17.025039704052809</v>
      </c>
      <c r="P26" s="46">
        <v>18.005412112681796</v>
      </c>
      <c r="Q26" s="46">
        <v>17.356171419984918</v>
      </c>
      <c r="R26" s="46">
        <v>18.219189184615253</v>
      </c>
      <c r="S26" s="46">
        <v>18.901516662972824</v>
      </c>
      <c r="T26" s="46">
        <v>18.465912303758866</v>
      </c>
      <c r="U26" s="46">
        <v>19.022665918719085</v>
      </c>
      <c r="V26" s="46">
        <v>19.239999999999998</v>
      </c>
      <c r="W26" s="46">
        <v>19.529792397332631</v>
      </c>
      <c r="X26" s="46">
        <v>19.594459491261173</v>
      </c>
      <c r="Y26" s="46">
        <v>19.952516606294299</v>
      </c>
      <c r="Z26" s="46">
        <v>19.918664445107115</v>
      </c>
      <c r="AA26" s="46">
        <v>19.547893316205375</v>
      </c>
      <c r="AB26" s="46">
        <v>19.584366387824222</v>
      </c>
      <c r="AC26" s="46">
        <v>20.103582681719313</v>
      </c>
      <c r="AD26" s="46">
        <v>19.03</v>
      </c>
      <c r="AE26" s="46">
        <v>19.41</v>
      </c>
      <c r="AF26" s="46">
        <v>19.11</v>
      </c>
      <c r="AG26" s="46">
        <v>18.8</v>
      </c>
      <c r="AH26" s="46">
        <v>18.520654600130104</v>
      </c>
      <c r="AI26" s="46">
        <v>18.670767712327983</v>
      </c>
      <c r="AJ26" s="46">
        <v>19.019234533184164</v>
      </c>
      <c r="AK26" s="46">
        <v>19.363010018644523</v>
      </c>
      <c r="AL26" s="46">
        <v>19.980023719993753</v>
      </c>
      <c r="AM26" s="46">
        <v>19.684833542176339</v>
      </c>
      <c r="AN26" s="46">
        <v>20.297341454146896</v>
      </c>
      <c r="AO26" s="46">
        <v>20.292233684010192</v>
      </c>
      <c r="AP26" s="46">
        <v>20.440505519790271</v>
      </c>
      <c r="AQ26" s="46">
        <v>20.792339107609571</v>
      </c>
      <c r="AR26" s="46">
        <v>20.84093711890246</v>
      </c>
      <c r="AS26" s="46">
        <v>20.957275051418026</v>
      </c>
      <c r="AT26" s="46">
        <v>21.049363127575205</v>
      </c>
      <c r="AU26" s="46">
        <v>20.937368462686617</v>
      </c>
      <c r="AV26" s="46">
        <v>21.38</v>
      </c>
      <c r="AW26" s="46">
        <v>21.248820678408247</v>
      </c>
      <c r="AX26" s="46">
        <v>21.214640207955419</v>
      </c>
      <c r="AY26" s="46">
        <v>21.123742461305397</v>
      </c>
      <c r="AZ26" s="46">
        <v>21.348343825460457</v>
      </c>
      <c r="BA26" s="46">
        <v>21.528869980690441</v>
      </c>
      <c r="BB26" s="46">
        <v>22.032899036627057</v>
      </c>
      <c r="BC26" s="46">
        <v>21.658659235360403</v>
      </c>
      <c r="BD26" s="46">
        <v>21.646365056490474</v>
      </c>
      <c r="BE26" s="46">
        <v>21.064596385876523</v>
      </c>
      <c r="BF26" s="46">
        <v>21.153918339430451</v>
      </c>
      <c r="BG26" s="46">
        <v>21.186402407044071</v>
      </c>
      <c r="BH26" s="46">
        <v>20.828893136326254</v>
      </c>
      <c r="BI26" s="46">
        <v>20.678859660673581</v>
      </c>
      <c r="BJ26" s="46">
        <v>20.566761900845233</v>
      </c>
      <c r="BK26" s="46">
        <v>20.729472194875601</v>
      </c>
      <c r="BL26" s="46">
        <v>20.418390991471711</v>
      </c>
      <c r="BM26" s="46">
        <v>20.537896901753591</v>
      </c>
      <c r="BN26" s="46">
        <v>20.388493456706335</v>
      </c>
      <c r="BO26" s="46">
        <v>20.746352733126681</v>
      </c>
      <c r="BP26" s="46">
        <v>19.931649550449791</v>
      </c>
      <c r="BQ26" s="46">
        <v>20.131589013165819</v>
      </c>
      <c r="BR26" s="46">
        <v>20.104650323424949</v>
      </c>
      <c r="BS26" s="46">
        <v>19.909995550420536</v>
      </c>
      <c r="BT26" s="46">
        <v>19.61</v>
      </c>
      <c r="BU26" s="46">
        <v>19.488256496771957</v>
      </c>
      <c r="BV26" s="46">
        <v>19.448828805376969</v>
      </c>
      <c r="BW26" s="46">
        <v>19.479036840686938</v>
      </c>
      <c r="BX26" s="46">
        <v>19.281237300556128</v>
      </c>
      <c r="BY26" s="46">
        <v>19.836223685155858</v>
      </c>
      <c r="BZ26" s="46">
        <v>19.852209112817405</v>
      </c>
      <c r="CA26" s="46">
        <v>19.672189441251117</v>
      </c>
      <c r="CB26" s="46">
        <v>19.746005572579488</v>
      </c>
      <c r="CC26" s="46">
        <v>19.762631299563775</v>
      </c>
      <c r="CD26" s="46">
        <v>19.861054004990901</v>
      </c>
      <c r="CE26" s="46">
        <v>19.606404725423459</v>
      </c>
      <c r="CF26" s="46">
        <v>19.654463988315165</v>
      </c>
      <c r="CG26" s="46">
        <v>19.298024504250069</v>
      </c>
      <c r="CH26" s="46">
        <v>18.773188524415129</v>
      </c>
      <c r="CI26" s="46">
        <v>19.179001910175955</v>
      </c>
      <c r="CJ26" s="46">
        <v>19.092108559170285</v>
      </c>
      <c r="CK26" s="46">
        <v>19.063871280329476</v>
      </c>
      <c r="CL26" s="46">
        <v>18.983784329887882</v>
      </c>
      <c r="CM26" s="46">
        <v>18.779600076865218</v>
      </c>
      <c r="CN26" s="46">
        <v>18.573507280242271</v>
      </c>
      <c r="CO26" s="46">
        <v>18.569775180652051</v>
      </c>
      <c r="CP26" s="46">
        <v>18.465557526022256</v>
      </c>
      <c r="CQ26" s="46">
        <v>18.490801384726801</v>
      </c>
      <c r="CR26" s="46">
        <v>18.544113762346054</v>
      </c>
      <c r="CS26" s="46">
        <v>18.558137361784201</v>
      </c>
      <c r="CT26" s="46">
        <v>18.481032752326954</v>
      </c>
      <c r="CU26" s="46">
        <v>18.536130533883124</v>
      </c>
      <c r="CV26" s="46">
        <v>18.366861093606939</v>
      </c>
      <c r="CW26" s="46">
        <v>18.24614893332566</v>
      </c>
      <c r="CX26" s="46">
        <v>18.530706603983436</v>
      </c>
      <c r="CY26" s="46">
        <v>18.609947421547524</v>
      </c>
      <c r="CZ26" s="46">
        <v>18.306563093240477</v>
      </c>
      <c r="DA26" s="46">
        <v>17.066614059626513</v>
      </c>
      <c r="DB26" s="46">
        <v>17.890237297147198</v>
      </c>
      <c r="DC26" s="46">
        <v>18.04951168599727</v>
      </c>
      <c r="DD26" s="46">
        <v>18.360065036201895</v>
      </c>
      <c r="DE26" s="46">
        <v>18.213045948996577</v>
      </c>
      <c r="DF26" s="46">
        <v>18.018104658209012</v>
      </c>
      <c r="DG26" s="46">
        <v>18.353916964642224</v>
      </c>
      <c r="DH26" s="46">
        <v>18.340665338502227</v>
      </c>
      <c r="DI26" s="46">
        <v>17.648924752834414</v>
      </c>
      <c r="DJ26" s="46">
        <v>17.98790030451983</v>
      </c>
      <c r="DK26" s="46">
        <v>18.213274893568052</v>
      </c>
      <c r="DL26" s="46">
        <v>17.898763110870771</v>
      </c>
      <c r="DM26" s="46">
        <v>17.585702084226039</v>
      </c>
      <c r="DN26" s="46">
        <v>18.084794044630844</v>
      </c>
      <c r="DO26" s="46">
        <v>18.036756907067719</v>
      </c>
      <c r="DP26" s="46">
        <v>18.489747672156877</v>
      </c>
      <c r="DQ26" s="46">
        <v>18.29381610416301</v>
      </c>
      <c r="DR26" s="46">
        <v>18.483948891942756</v>
      </c>
      <c r="DS26" s="46">
        <v>18.324031680078932</v>
      </c>
      <c r="DT26" s="46">
        <v>18.515482118779868</v>
      </c>
      <c r="DU26" s="46">
        <v>18.533507242235206</v>
      </c>
      <c r="DV26" s="46">
        <v>18.59</v>
      </c>
      <c r="DW26" s="46">
        <v>18.65384456885257</v>
      </c>
      <c r="DX26" s="46">
        <v>18.389124278311705</v>
      </c>
      <c r="DY26" s="46">
        <v>18.626335150181767</v>
      </c>
      <c r="DZ26" s="46">
        <v>18.456354325647556</v>
      </c>
      <c r="EA26" s="46">
        <v>18.216066094866751</v>
      </c>
      <c r="EB26" s="46">
        <v>18.287282629112568</v>
      </c>
      <c r="EC26" s="46">
        <v>17.821939151526234</v>
      </c>
      <c r="ED26" s="46">
        <v>17.795644008107605</v>
      </c>
      <c r="EE26" s="46">
        <v>17.68026100823451</v>
      </c>
      <c r="EF26" s="46">
        <v>17.54360417432812</v>
      </c>
      <c r="EG26" s="46">
        <v>17.455650251249018</v>
      </c>
      <c r="EH26" s="46">
        <v>17.496077738201457</v>
      </c>
      <c r="EI26" s="46">
        <v>17.237507119751509</v>
      </c>
      <c r="EJ26" s="46">
        <v>17.001538541436656</v>
      </c>
      <c r="EK26" s="46">
        <v>16.905335769369266</v>
      </c>
      <c r="EL26" s="46">
        <v>16.720979725017443</v>
      </c>
      <c r="EM26" s="46">
        <v>16.584618509422768</v>
      </c>
      <c r="EN26" s="46">
        <v>16.71341546256745</v>
      </c>
      <c r="EO26" s="46">
        <v>16.413073857937189</v>
      </c>
      <c r="EP26" s="46">
        <v>16.484009035563666</v>
      </c>
      <c r="EQ26" s="46">
        <v>16.2016582127502</v>
      </c>
      <c r="ER26" s="46">
        <v>16.072758654657974</v>
      </c>
      <c r="ES26" s="46">
        <v>15.708811028585986</v>
      </c>
      <c r="ET26" s="46">
        <v>15.792400341795565</v>
      </c>
      <c r="EU26" s="46">
        <v>15.995021178359961</v>
      </c>
      <c r="EV26" s="46">
        <v>15.796162701284025</v>
      </c>
      <c r="EW26" s="46">
        <v>15.761013736327085</v>
      </c>
      <c r="EX26" s="46">
        <v>15.712964672438309</v>
      </c>
      <c r="EY26" s="46">
        <v>15.863324078995547</v>
      </c>
      <c r="EZ26" s="46">
        <v>15.926744463562144</v>
      </c>
      <c r="FA26" s="46">
        <v>16.096154902090191</v>
      </c>
      <c r="FB26" s="46">
        <v>16.1037441771063</v>
      </c>
      <c r="FC26" s="46">
        <v>16.298475372069372</v>
      </c>
      <c r="FD26" s="46">
        <v>16.37714894397423</v>
      </c>
      <c r="FE26" s="46">
        <v>16.311398202818033</v>
      </c>
      <c r="FF26" s="46">
        <v>16.494017144652741</v>
      </c>
      <c r="FG26" s="46">
        <v>16.610434113249429</v>
      </c>
      <c r="FH26" s="46">
        <v>16.645146090361681</v>
      </c>
      <c r="FI26" s="46">
        <v>16.828145743822358</v>
      </c>
      <c r="FJ26" s="46">
        <v>16.899030041484089</v>
      </c>
      <c r="FK26" s="46">
        <v>16.900058211119699</v>
      </c>
      <c r="FL26" s="46">
        <v>16.967155835797033</v>
      </c>
      <c r="FM26" s="46">
        <v>17.142593862021833</v>
      </c>
      <c r="FN26" s="46">
        <v>17.185353230375018</v>
      </c>
      <c r="FO26" s="46">
        <v>17.211115259541398</v>
      </c>
      <c r="FP26" s="46">
        <v>16.923494131852316</v>
      </c>
      <c r="FQ26" s="46">
        <v>17.107492506992276</v>
      </c>
      <c r="FR26" s="46">
        <v>17.338864053639284</v>
      </c>
      <c r="FS26" s="47">
        <v>17.347382402662976</v>
      </c>
      <c r="FT26" s="47">
        <v>17.03571693967524</v>
      </c>
      <c r="FU26" s="48">
        <v>17.121855010223328</v>
      </c>
      <c r="FV26" s="48">
        <v>17.128347302625617</v>
      </c>
      <c r="FW26" s="48">
        <v>17.176967301608919</v>
      </c>
      <c r="FX26" s="48">
        <v>17.130590711894271</v>
      </c>
      <c r="FY26" s="48">
        <v>17.156168284518635</v>
      </c>
      <c r="FZ26" s="48">
        <v>17.132752742325142</v>
      </c>
      <c r="GA26" s="48">
        <v>17.125305682446921</v>
      </c>
      <c r="GB26" s="48">
        <v>16.964161404248753</v>
      </c>
      <c r="GC26" s="48">
        <v>16.627149930432243</v>
      </c>
      <c r="GD26" s="48">
        <v>16.612999705444167</v>
      </c>
      <c r="GE26" s="53">
        <v>16.548002462928679</v>
      </c>
      <c r="GF26" s="53">
        <v>16.473864343602539</v>
      </c>
      <c r="GG26" s="52">
        <v>16.429158373153367</v>
      </c>
      <c r="GH26" s="52">
        <v>16.3921781691791</v>
      </c>
      <c r="GI26" s="52">
        <v>16.370551887523899</v>
      </c>
      <c r="GJ26" s="52">
        <v>16.2646846637174</v>
      </c>
      <c r="GK26" s="50">
        <v>16.287032417180701</v>
      </c>
      <c r="GL26" s="50">
        <v>16.305835739132199</v>
      </c>
      <c r="GM26" s="50">
        <v>16.2143610670478</v>
      </c>
      <c r="GN26" s="50">
        <v>16.1447568381334</v>
      </c>
      <c r="GO26" s="50">
        <v>16.089823539910999</v>
      </c>
      <c r="GP26" s="50">
        <v>16.075380514585799</v>
      </c>
      <c r="GQ26" s="50">
        <v>16.104118332854402</v>
      </c>
      <c r="GR26" s="50">
        <v>16.0413289235346</v>
      </c>
      <c r="GS26" s="50">
        <v>16.101580812450699</v>
      </c>
      <c r="GT26" s="50">
        <v>16.108476286822601</v>
      </c>
      <c r="GU26" s="50">
        <v>16.134784755389902</v>
      </c>
      <c r="GV26" s="50">
        <v>16.227238567660599</v>
      </c>
      <c r="GW26" s="50">
        <v>16.272035479967901</v>
      </c>
      <c r="GX26" s="50">
        <v>16.409533567041802</v>
      </c>
      <c r="GY26" s="50">
        <v>16.409533567041802</v>
      </c>
      <c r="GZ26" s="50">
        <v>16.451529946629499</v>
      </c>
      <c r="HA26" s="50">
        <v>16.5086595753802</v>
      </c>
      <c r="HB26" s="50">
        <v>16.437396817306201</v>
      </c>
      <c r="HC26" s="50">
        <v>16.4257591188654</v>
      </c>
      <c r="HD26" s="50">
        <v>16.343960341089801</v>
      </c>
      <c r="HE26" s="50">
        <v>16.291645831181501</v>
      </c>
      <c r="HF26" s="50">
        <v>16.221214605832799</v>
      </c>
      <c r="HG26" s="50">
        <v>16.1728011235503</v>
      </c>
      <c r="HH26" s="50">
        <v>16.229059174683599</v>
      </c>
      <c r="HI26" s="50">
        <v>16.2530286785308</v>
      </c>
      <c r="HJ26" s="50">
        <v>16.286317546064499</v>
      </c>
      <c r="HK26" s="50">
        <v>16.281292780433699</v>
      </c>
      <c r="HL26" s="50">
        <v>16.195418832182199</v>
      </c>
      <c r="HM26" s="50">
        <v>16.148629776290498</v>
      </c>
      <c r="HN26" s="50">
        <v>16.036205532642001</v>
      </c>
      <c r="HO26" s="50">
        <v>16.1513143139594</v>
      </c>
      <c r="HP26" s="50">
        <v>16.143532488294799</v>
      </c>
      <c r="HQ26" s="50">
        <v>16.085318808675002</v>
      </c>
      <c r="HR26" s="50">
        <v>16.046379536572999</v>
      </c>
      <c r="HS26" s="50">
        <v>16.1015688562943</v>
      </c>
      <c r="HT26" s="50">
        <v>16.0603926086347</v>
      </c>
      <c r="HU26" s="50">
        <v>15.9850945492067</v>
      </c>
      <c r="HV26" s="50">
        <v>15.987291911717101</v>
      </c>
      <c r="HW26" s="50">
        <v>15.983881301756499</v>
      </c>
      <c r="HX26" s="50">
        <v>16.057802136999999</v>
      </c>
      <c r="HY26" s="50">
        <v>16.005787092354801</v>
      </c>
      <c r="HZ26" s="50">
        <v>16.003146345940099</v>
      </c>
      <c r="IA26" s="50">
        <v>16.084935036738401</v>
      </c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</row>
    <row r="27" spans="1:451">
      <c r="A27" s="12" t="s">
        <v>255</v>
      </c>
      <c r="B27" s="33" t="s">
        <v>203</v>
      </c>
      <c r="C27" s="12" t="s">
        <v>255</v>
      </c>
      <c r="D27" s="53">
        <v>23.36</v>
      </c>
      <c r="E27" s="46">
        <v>16.739999999999998</v>
      </c>
      <c r="F27" s="46">
        <v>17.96</v>
      </c>
      <c r="G27" s="46">
        <v>16.28</v>
      </c>
      <c r="H27" s="46">
        <v>16.940000000000001</v>
      </c>
      <c r="I27" s="46">
        <v>16.809999999999999</v>
      </c>
      <c r="J27" s="46">
        <v>17.66</v>
      </c>
      <c r="K27" s="46">
        <v>17.170000000000002</v>
      </c>
      <c r="L27" s="46">
        <v>16.78</v>
      </c>
      <c r="M27" s="46">
        <v>16.52</v>
      </c>
      <c r="N27" s="46">
        <v>17.260479646806271</v>
      </c>
      <c r="O27" s="46">
        <v>18.089612101909282</v>
      </c>
      <c r="P27" s="46">
        <v>17.651508349893735</v>
      </c>
      <c r="Q27" s="46">
        <v>16.458396691458191</v>
      </c>
      <c r="R27" s="46">
        <v>18.724064361295955</v>
      </c>
      <c r="S27" s="46">
        <v>16.318436095659301</v>
      </c>
      <c r="T27" s="46">
        <v>16.329616100209023</v>
      </c>
      <c r="U27" s="46">
        <v>14.443195509246959</v>
      </c>
      <c r="V27" s="46">
        <v>17.351042519770832</v>
      </c>
      <c r="W27" s="46">
        <v>17.801937675695118</v>
      </c>
      <c r="X27" s="46">
        <v>15.528580135336121</v>
      </c>
      <c r="Y27" s="46">
        <v>18.839413331213077</v>
      </c>
      <c r="Z27" s="46">
        <v>17.926640510054206</v>
      </c>
      <c r="AA27" s="46">
        <v>16.751514995424728</v>
      </c>
      <c r="AB27" s="46">
        <v>15.656868498783329</v>
      </c>
      <c r="AC27" s="46">
        <v>15.567957437877737</v>
      </c>
      <c r="AD27" s="46">
        <v>14.947563967237322</v>
      </c>
      <c r="AE27" s="46">
        <v>14.47993542325926</v>
      </c>
      <c r="AF27" s="46">
        <v>14.100952871443109</v>
      </c>
      <c r="AG27" s="46">
        <v>14.43242738235616</v>
      </c>
      <c r="AH27" s="46">
        <v>13.857401474557282</v>
      </c>
      <c r="AI27" s="46">
        <v>14.214136801920112</v>
      </c>
      <c r="AJ27" s="46">
        <v>15.586019792133349</v>
      </c>
      <c r="AK27" s="46">
        <v>14.364413387203969</v>
      </c>
      <c r="AL27" s="46">
        <v>13.453677829023304</v>
      </c>
      <c r="AM27" s="46">
        <v>17.011002340258038</v>
      </c>
      <c r="AN27" s="46">
        <v>19.00252943018052</v>
      </c>
      <c r="AO27" s="46">
        <v>12.433236464404116</v>
      </c>
      <c r="AP27" s="46">
        <v>18.829889862034019</v>
      </c>
      <c r="AQ27" s="46">
        <v>16.544300667247501</v>
      </c>
      <c r="AR27" s="46">
        <v>17.000276717847211</v>
      </c>
      <c r="AS27" s="46">
        <v>18.681010272155909</v>
      </c>
      <c r="AT27" s="46">
        <v>18.075407726746384</v>
      </c>
      <c r="AU27" s="46">
        <v>17.429821453554094</v>
      </c>
      <c r="AV27" s="46">
        <v>17.920009792264111</v>
      </c>
      <c r="AW27" s="46">
        <v>19.193206516627683</v>
      </c>
      <c r="AX27" s="46">
        <v>17.91651244425428</v>
      </c>
      <c r="AY27" s="46">
        <v>18.550049259696593</v>
      </c>
      <c r="AZ27" s="46">
        <v>18.386741632198238</v>
      </c>
      <c r="BA27" s="46">
        <v>18.075813180264014</v>
      </c>
      <c r="BB27" s="46">
        <v>17.461377880179427</v>
      </c>
      <c r="BC27" s="46">
        <v>16.898503718943584</v>
      </c>
      <c r="BD27" s="46">
        <v>16.345185987516246</v>
      </c>
      <c r="BE27" s="46">
        <v>16.921013460058035</v>
      </c>
      <c r="BF27" s="46">
        <v>16.338402548047828</v>
      </c>
      <c r="BG27" s="46">
        <v>18.231213411213499</v>
      </c>
      <c r="BH27" s="46">
        <v>17.087374130211664</v>
      </c>
      <c r="BI27" s="46">
        <v>20.499410768811625</v>
      </c>
      <c r="BJ27" s="46">
        <v>18.037014808997807</v>
      </c>
      <c r="BK27" s="46">
        <v>17.335015856329605</v>
      </c>
      <c r="BL27" s="46">
        <v>19.123244798511564</v>
      </c>
      <c r="BM27" s="46">
        <v>6.1561035632533576</v>
      </c>
      <c r="BN27" s="46">
        <v>20.301616051234813</v>
      </c>
      <c r="BO27" s="46">
        <v>17.239664033345445</v>
      </c>
      <c r="BP27" s="46">
        <v>17.504513583231908</v>
      </c>
      <c r="BQ27" s="46">
        <v>17.137512457701103</v>
      </c>
      <c r="BR27" s="46">
        <v>17.048800588599612</v>
      </c>
      <c r="BS27" s="46">
        <v>16.570411949788014</v>
      </c>
      <c r="BT27" s="46">
        <v>17.773054968109378</v>
      </c>
      <c r="BU27" s="46">
        <v>17.102027311029065</v>
      </c>
      <c r="BV27" s="46">
        <v>17.385838782370975</v>
      </c>
      <c r="BW27" s="46">
        <v>16.834182753037016</v>
      </c>
      <c r="BX27" s="46">
        <v>15.546116564472715</v>
      </c>
      <c r="BY27" s="46">
        <v>18.787630106536565</v>
      </c>
      <c r="BZ27" s="46">
        <v>18.78329804460472</v>
      </c>
      <c r="CA27" s="46">
        <v>17.187436325315602</v>
      </c>
      <c r="CB27" s="46">
        <v>16.273622232057832</v>
      </c>
      <c r="CC27" s="46">
        <v>13.094434533057806</v>
      </c>
      <c r="CD27" s="46">
        <v>13.006497184941606</v>
      </c>
      <c r="CE27" s="46">
        <v>11.78053080252548</v>
      </c>
      <c r="CF27" s="46">
        <v>14.605959689728735</v>
      </c>
      <c r="CG27" s="46">
        <v>15.425907806833919</v>
      </c>
      <c r="CH27" s="46">
        <v>12.756894093810647</v>
      </c>
      <c r="CI27" s="46">
        <v>16.558809470516554</v>
      </c>
      <c r="CJ27" s="46">
        <v>16.126713881327856</v>
      </c>
      <c r="CK27" s="46">
        <v>16.381729137199432</v>
      </c>
      <c r="CL27" s="46">
        <v>16.574332327900901</v>
      </c>
      <c r="CM27" s="46">
        <v>16.080745478487543</v>
      </c>
      <c r="CN27" s="46">
        <v>17.776396326331493</v>
      </c>
      <c r="CO27" s="46">
        <v>20.592665638361478</v>
      </c>
      <c r="CP27" s="46">
        <v>19.864516720942564</v>
      </c>
      <c r="CQ27" s="46">
        <v>20.012767667120229</v>
      </c>
      <c r="CR27" s="46">
        <v>19.584232469722213</v>
      </c>
      <c r="CS27" s="46">
        <v>20.528292135301125</v>
      </c>
      <c r="CT27" s="46">
        <v>19.040996976022999</v>
      </c>
      <c r="CU27" s="46">
        <v>12.694132312151911</v>
      </c>
      <c r="CV27" s="46">
        <v>18.547557475125068</v>
      </c>
      <c r="CW27" s="46">
        <v>18.792970049434579</v>
      </c>
      <c r="CX27" s="46">
        <v>17.976965024163729</v>
      </c>
      <c r="CY27" s="46">
        <v>19.437683379113988</v>
      </c>
      <c r="CZ27" s="46">
        <v>20.695443631588862</v>
      </c>
      <c r="DA27" s="46">
        <v>11.055598646362633</v>
      </c>
      <c r="DB27" s="46">
        <v>10.982863126711351</v>
      </c>
      <c r="DC27" s="46">
        <v>19.260946257502898</v>
      </c>
      <c r="DD27" s="46">
        <v>10.989869216306055</v>
      </c>
      <c r="DE27" s="46">
        <v>10.945568484095356</v>
      </c>
      <c r="DF27" s="46">
        <v>9.9812214354952804</v>
      </c>
      <c r="DG27" s="46">
        <v>10.960899942044014</v>
      </c>
      <c r="DH27" s="46">
        <v>11.114815538516723</v>
      </c>
      <c r="DI27" s="46">
        <v>10.657545216749766</v>
      </c>
      <c r="DJ27" s="46">
        <v>10.909014317195679</v>
      </c>
      <c r="DK27" s="46">
        <v>11.158935216196582</v>
      </c>
      <c r="DL27" s="46">
        <v>9.5892273592277171</v>
      </c>
      <c r="DM27" s="46">
        <v>9.4152419638906526</v>
      </c>
      <c r="DN27" s="46">
        <v>9.6603749396851128</v>
      </c>
      <c r="DO27" s="46">
        <v>14.358620436451147</v>
      </c>
      <c r="DP27" s="46">
        <v>14.524062935540089</v>
      </c>
      <c r="DQ27" s="46">
        <v>14.331089779748325</v>
      </c>
      <c r="DR27" s="46">
        <v>14.476134394543243</v>
      </c>
      <c r="DS27" s="46">
        <v>13.076066013767251</v>
      </c>
      <c r="DT27" s="46">
        <v>12.667338317787692</v>
      </c>
      <c r="DU27" s="46">
        <v>12.375254025211378</v>
      </c>
      <c r="DV27" s="46">
        <v>12.98</v>
      </c>
      <c r="DW27" s="46">
        <v>16.556945676884165</v>
      </c>
      <c r="DX27" s="46">
        <v>15.110099923211274</v>
      </c>
      <c r="DY27" s="46">
        <v>16.400546010286302</v>
      </c>
      <c r="DZ27" s="46">
        <v>15.909156346171637</v>
      </c>
      <c r="EA27" s="46">
        <v>16.598653910832283</v>
      </c>
      <c r="EB27" s="46">
        <v>16.980484284335677</v>
      </c>
      <c r="EC27" s="46">
        <v>17.048490842786581</v>
      </c>
      <c r="ED27" s="46">
        <v>16.901150737385027</v>
      </c>
      <c r="EE27" s="46">
        <v>15.47304033420928</v>
      </c>
      <c r="EF27" s="46">
        <v>17.667197565020636</v>
      </c>
      <c r="EG27" s="46">
        <v>16.76527965256853</v>
      </c>
      <c r="EH27" s="46">
        <v>16.855526352024913</v>
      </c>
      <c r="EI27" s="46">
        <v>16.041556794811147</v>
      </c>
      <c r="EJ27" s="46">
        <v>15.252031573646562</v>
      </c>
      <c r="EK27" s="46">
        <v>14.971379311487549</v>
      </c>
      <c r="EL27" s="46">
        <v>14.794130550684709</v>
      </c>
      <c r="EM27" s="46">
        <v>14.643580755174501</v>
      </c>
      <c r="EN27" s="46">
        <v>14.878851015511703</v>
      </c>
      <c r="EO27" s="46">
        <v>16.332012481247322</v>
      </c>
      <c r="EP27" s="46">
        <v>17.212029394974305</v>
      </c>
      <c r="EQ27" s="46">
        <v>14.702004165635064</v>
      </c>
      <c r="ER27" s="46">
        <v>15.140463838130094</v>
      </c>
      <c r="ES27" s="46">
        <v>13.394058409602319</v>
      </c>
      <c r="ET27" s="46">
        <v>14.139235570768733</v>
      </c>
      <c r="EU27" s="46">
        <v>15.258609734217817</v>
      </c>
      <c r="EV27" s="46">
        <v>13.708459542528836</v>
      </c>
      <c r="EW27" s="46">
        <v>13.533301025745132</v>
      </c>
      <c r="EX27" s="46">
        <v>13.451976781459733</v>
      </c>
      <c r="EY27" s="46">
        <v>11.468262983714862</v>
      </c>
      <c r="EZ27" s="46">
        <v>13.265500388979193</v>
      </c>
      <c r="FA27" s="46">
        <v>13.877483875080188</v>
      </c>
      <c r="FB27" s="46">
        <v>12.089429608804151</v>
      </c>
      <c r="FC27" s="46">
        <v>12.668189322776307</v>
      </c>
      <c r="FD27" s="46">
        <v>5.0580307704670382</v>
      </c>
      <c r="FE27" s="46">
        <v>11.61434939937317</v>
      </c>
      <c r="FF27" s="46">
        <v>10.391109059179552</v>
      </c>
      <c r="FG27" s="46">
        <v>11.434358395048831</v>
      </c>
      <c r="FH27" s="46">
        <v>11.281037480318911</v>
      </c>
      <c r="FI27" s="46">
        <v>12.116462405702579</v>
      </c>
      <c r="FJ27" s="46">
        <v>13.020703676174453</v>
      </c>
      <c r="FK27" s="46">
        <v>10.868981021557977</v>
      </c>
      <c r="FL27" s="46">
        <v>11.109601432645968</v>
      </c>
      <c r="FM27" s="46">
        <v>12.094858211430278</v>
      </c>
      <c r="FN27" s="46">
        <v>10.066410518434358</v>
      </c>
      <c r="FO27" s="46">
        <v>11.436837293221917</v>
      </c>
      <c r="FP27" s="46">
        <v>4.4808930099065121</v>
      </c>
      <c r="FQ27" s="46">
        <v>10.926315131815711</v>
      </c>
      <c r="FR27" s="46">
        <v>9.663739422906966</v>
      </c>
      <c r="FS27" s="46">
        <v>9.8852460811751897</v>
      </c>
      <c r="FT27" s="46">
        <v>10.449731682220897</v>
      </c>
      <c r="FU27" s="46">
        <v>9.8550084035165639</v>
      </c>
      <c r="FV27" s="53">
        <v>10.057286157710598</v>
      </c>
      <c r="FW27" s="53">
        <v>9.8329144453994868</v>
      </c>
      <c r="FX27" s="53">
        <v>9.3856957053909031</v>
      </c>
      <c r="FY27" s="48">
        <v>9.2943194173693637</v>
      </c>
      <c r="FZ27" s="48">
        <v>9.1653028767182843</v>
      </c>
      <c r="GA27" s="48">
        <v>9.8104348712172769</v>
      </c>
      <c r="GB27" s="48">
        <v>9.9513008909014466</v>
      </c>
      <c r="GC27" s="48">
        <v>10.293070209697762</v>
      </c>
      <c r="GD27" s="48">
        <v>9.972285798207837</v>
      </c>
      <c r="GE27" s="53">
        <v>8.471296700402613</v>
      </c>
      <c r="GF27" s="53">
        <v>8.4625047418423023</v>
      </c>
      <c r="GG27" s="52">
        <v>8.8651887107373391</v>
      </c>
      <c r="GH27" s="52">
        <v>9.0244732934266594</v>
      </c>
      <c r="GI27" s="52">
        <v>8.4290529218618797</v>
      </c>
      <c r="GJ27" s="52">
        <v>8.4463697434450697</v>
      </c>
      <c r="GK27" s="52">
        <v>8.21766353895854</v>
      </c>
      <c r="GL27" s="52">
        <v>8.8283992317211393</v>
      </c>
      <c r="GM27" s="50">
        <v>9.6366761511352905</v>
      </c>
      <c r="GN27" s="50">
        <v>9.4250477176183693</v>
      </c>
      <c r="GO27" s="50">
        <v>10.176229957173099</v>
      </c>
      <c r="GP27" s="50">
        <v>9.6727309751186006</v>
      </c>
      <c r="GQ27" s="50">
        <v>9.3750243280596308</v>
      </c>
      <c r="GR27" s="50">
        <v>9.7266885553470903</v>
      </c>
      <c r="GS27" s="50">
        <v>9.4432156747862095</v>
      </c>
      <c r="GT27" s="50">
        <v>10.1722931023937</v>
      </c>
      <c r="GU27" s="50">
        <v>10.162000163558201</v>
      </c>
      <c r="GV27" s="50">
        <v>10.6536009620839</v>
      </c>
      <c r="GW27" s="50">
        <v>9.4513226974871394</v>
      </c>
      <c r="GX27" s="50">
        <v>10.9939724541555</v>
      </c>
      <c r="GY27" s="50">
        <v>10.9939724541555</v>
      </c>
      <c r="GZ27" s="50">
        <v>10.9898972535072</v>
      </c>
      <c r="HA27" s="50">
        <v>11.211869423392701</v>
      </c>
      <c r="HB27" s="50">
        <v>11.0467301202643</v>
      </c>
      <c r="HC27" s="50">
        <v>10.918628479682701</v>
      </c>
      <c r="HD27" s="50">
        <v>10.9519323907738</v>
      </c>
      <c r="HE27" s="50">
        <v>10.5352800393023</v>
      </c>
      <c r="HF27" s="50">
        <v>11.2058788980556</v>
      </c>
      <c r="HG27" s="50">
        <v>11.006370042288699</v>
      </c>
      <c r="HH27" s="50">
        <v>10.7049542225637</v>
      </c>
      <c r="HI27" s="50">
        <v>10.4899439845247</v>
      </c>
      <c r="HJ27" s="50">
        <v>10.8377995425046</v>
      </c>
      <c r="HK27" s="50">
        <v>10.200269178192</v>
      </c>
      <c r="HL27" s="50">
        <v>10.611424483882301</v>
      </c>
      <c r="HM27" s="50">
        <v>9.8863917080158998</v>
      </c>
      <c r="HN27" s="50">
        <v>9.4096926451531395</v>
      </c>
      <c r="HO27" s="50">
        <v>13.2736293590344</v>
      </c>
      <c r="HP27" s="50">
        <v>13.218378591681301</v>
      </c>
      <c r="HQ27" s="50">
        <v>10.405919140999501</v>
      </c>
      <c r="HR27" s="50">
        <v>9.8758592616649192</v>
      </c>
      <c r="HS27" s="50">
        <v>11.9575541604334</v>
      </c>
      <c r="HT27" s="50">
        <v>11.479834830262901</v>
      </c>
      <c r="HU27" s="50">
        <v>13.263792452958601</v>
      </c>
      <c r="HV27" s="50">
        <v>13.029487579342801</v>
      </c>
      <c r="HW27" s="50">
        <v>12.237070647373301</v>
      </c>
      <c r="HX27" s="50">
        <v>12.179374623225501</v>
      </c>
      <c r="HY27" s="50">
        <v>11.908013306064801</v>
      </c>
      <c r="HZ27" s="50">
        <v>6.6711023705627399</v>
      </c>
      <c r="IA27" s="50">
        <v>11.6927582956245</v>
      </c>
    </row>
    <row r="28" spans="1:451">
      <c r="A28" s="12" t="s">
        <v>256</v>
      </c>
      <c r="B28" s="33" t="s">
        <v>204</v>
      </c>
      <c r="C28" s="12" t="s">
        <v>256</v>
      </c>
      <c r="D28" s="53">
        <v>19.54</v>
      </c>
      <c r="E28" s="53">
        <v>17.98</v>
      </c>
      <c r="F28" s="53">
        <v>19.739999999999998</v>
      </c>
      <c r="G28" s="53">
        <v>17.88</v>
      </c>
      <c r="H28" s="53">
        <v>17.91</v>
      </c>
      <c r="I28" s="53">
        <v>18.89</v>
      </c>
      <c r="J28" s="53">
        <v>22.21</v>
      </c>
      <c r="K28" s="53">
        <v>22.42</v>
      </c>
      <c r="L28" s="53">
        <v>21.36</v>
      </c>
      <c r="M28" s="53">
        <v>22.78</v>
      </c>
      <c r="N28" s="53">
        <v>22.036962658757318</v>
      </c>
      <c r="O28" s="53">
        <v>20.057450086061447</v>
      </c>
      <c r="P28" s="53">
        <v>20.03432698437263</v>
      </c>
      <c r="Q28" s="53">
        <v>18.3333995799658</v>
      </c>
      <c r="R28" s="53">
        <v>18.505396977416822</v>
      </c>
      <c r="S28" s="53">
        <v>19.431080725210169</v>
      </c>
      <c r="T28" s="53">
        <v>19.005588674012834</v>
      </c>
      <c r="U28" s="53">
        <v>18.974259431071225</v>
      </c>
      <c r="V28" s="53">
        <v>18.15188123892154</v>
      </c>
      <c r="W28" s="53">
        <v>17.99952422333261</v>
      </c>
      <c r="X28" s="53">
        <v>17.990014150115748</v>
      </c>
      <c r="Y28" s="53">
        <v>17.586929226627632</v>
      </c>
      <c r="Z28" s="53">
        <v>16.509660361742686</v>
      </c>
      <c r="AA28" s="53">
        <v>18.023599900655388</v>
      </c>
      <c r="AB28" s="53">
        <v>16.944728189004891</v>
      </c>
      <c r="AC28" s="53">
        <v>17.138169435766788</v>
      </c>
      <c r="AD28" s="53">
        <v>16.894895114341534</v>
      </c>
      <c r="AE28" s="53">
        <v>16.050089848315807</v>
      </c>
      <c r="AF28" s="53">
        <v>5.7485670103469353</v>
      </c>
      <c r="AG28" s="53">
        <v>5.7375511517970361</v>
      </c>
      <c r="AH28" s="53">
        <v>5.9640551084711646</v>
      </c>
      <c r="AI28" s="53">
        <v>6.3219034862697407</v>
      </c>
      <c r="AJ28" s="53">
        <v>16.17974746004808</v>
      </c>
      <c r="AK28" s="53">
        <v>17.088250041177155</v>
      </c>
      <c r="AL28" s="53">
        <v>17.201232561152068</v>
      </c>
      <c r="AM28" s="53">
        <v>18.050288510951798</v>
      </c>
      <c r="AN28" s="53">
        <v>18.20516613851364</v>
      </c>
      <c r="AO28" s="53">
        <v>17.539207109361534</v>
      </c>
      <c r="AP28" s="53">
        <v>18.164398669034902</v>
      </c>
      <c r="AQ28" s="53">
        <v>18.281309832713884</v>
      </c>
      <c r="AR28" s="53">
        <v>18.022742504608644</v>
      </c>
      <c r="AS28" s="53">
        <v>19.110325199115913</v>
      </c>
      <c r="AT28" s="53">
        <v>18.105584274573143</v>
      </c>
      <c r="AU28" s="53">
        <v>17.378905287510214</v>
      </c>
      <c r="AV28" s="53">
        <v>18.974302604106345</v>
      </c>
      <c r="AW28" s="53">
        <v>20.454379614133423</v>
      </c>
      <c r="AX28" s="53">
        <v>20.000154796611827</v>
      </c>
      <c r="AY28" s="53">
        <v>19.08393912589132</v>
      </c>
      <c r="AZ28" s="53">
        <v>18.99004058174356</v>
      </c>
      <c r="BA28" s="53">
        <v>19.008497639565284</v>
      </c>
      <c r="BB28" s="53">
        <v>19.06133509220329</v>
      </c>
      <c r="BC28" s="53">
        <v>19.198788022787213</v>
      </c>
      <c r="BD28" s="53">
        <v>18.975568897179944</v>
      </c>
      <c r="BE28" s="53">
        <v>19.293501890459389</v>
      </c>
      <c r="BF28" s="53">
        <v>17.646891647490609</v>
      </c>
      <c r="BG28" s="53">
        <v>17.708376922358603</v>
      </c>
      <c r="BH28" s="53">
        <v>15.344307230895037</v>
      </c>
      <c r="BI28" s="53">
        <v>15.241032530626123</v>
      </c>
      <c r="BJ28" s="53">
        <v>15.698275209742139</v>
      </c>
      <c r="BK28" s="53">
        <v>15.800761127848201</v>
      </c>
      <c r="BL28" s="53">
        <v>13.810689100031698</v>
      </c>
      <c r="BM28" s="53">
        <v>14.409200225066501</v>
      </c>
      <c r="BN28" s="53">
        <v>8.3209043117239361</v>
      </c>
      <c r="BO28" s="53">
        <v>9.0388508642060845</v>
      </c>
      <c r="BP28" s="53">
        <v>8.7755971443513765</v>
      </c>
      <c r="BQ28" s="53">
        <v>7.8609452653530685</v>
      </c>
      <c r="BR28" s="53">
        <v>8.6467259480800358</v>
      </c>
      <c r="BS28" s="53">
        <v>14.294971690531755</v>
      </c>
      <c r="BT28" s="53">
        <v>14.088548495899753</v>
      </c>
      <c r="BU28" s="53">
        <v>14.30866746828125</v>
      </c>
      <c r="BV28" s="53">
        <v>14.059660911820641</v>
      </c>
      <c r="BW28" s="53">
        <v>13.683811940976478</v>
      </c>
      <c r="BX28" s="53">
        <v>12.408306430262938</v>
      </c>
      <c r="BY28" s="53">
        <v>17.237521373999364</v>
      </c>
      <c r="BZ28" s="53">
        <v>17.989274408896982</v>
      </c>
      <c r="CA28" s="53">
        <v>17.587589085349311</v>
      </c>
      <c r="CB28" s="53">
        <v>17.551130316591227</v>
      </c>
      <c r="CC28" s="53">
        <v>17.27365506795201</v>
      </c>
      <c r="CD28" s="53">
        <v>16.258098615146864</v>
      </c>
      <c r="CE28" s="53">
        <v>16.350201858291882</v>
      </c>
      <c r="CF28" s="53">
        <v>17.133344580073</v>
      </c>
      <c r="CG28" s="53">
        <v>17.43424891001272</v>
      </c>
      <c r="CH28" s="53">
        <v>16.072742333103246</v>
      </c>
      <c r="CI28" s="53">
        <v>16.079062991470586</v>
      </c>
      <c r="CJ28" s="53">
        <v>17.04777042495429</v>
      </c>
      <c r="CK28" s="53">
        <v>16.169830542487013</v>
      </c>
      <c r="CL28" s="53">
        <v>16.413292779559402</v>
      </c>
      <c r="CM28" s="53">
        <v>16.331766493834852</v>
      </c>
      <c r="CN28" s="53">
        <v>15.878811522050869</v>
      </c>
      <c r="CO28" s="53">
        <v>15.674957395442943</v>
      </c>
      <c r="CP28" s="53">
        <v>16.538022837913793</v>
      </c>
      <c r="CQ28" s="53">
        <v>16.497134615384617</v>
      </c>
      <c r="CR28" s="53">
        <v>16.281323730000363</v>
      </c>
      <c r="CS28" s="53">
        <v>16.023646917267229</v>
      </c>
      <c r="CT28" s="53">
        <v>16.142700755388294</v>
      </c>
      <c r="CU28" s="53">
        <v>16.983119688079615</v>
      </c>
      <c r="CV28" s="53">
        <v>16.671822252103553</v>
      </c>
      <c r="CW28" s="53">
        <v>16.263822326519517</v>
      </c>
      <c r="CX28" s="53">
        <v>16.136377274854034</v>
      </c>
      <c r="CY28" s="53">
        <v>16.314799858758331</v>
      </c>
      <c r="CZ28" s="53">
        <v>16.798539699478326</v>
      </c>
      <c r="DA28" s="53">
        <v>15.442400781507477</v>
      </c>
      <c r="DB28" s="53">
        <v>15.497015143555828</v>
      </c>
      <c r="DC28" s="53">
        <v>16.124772527518523</v>
      </c>
      <c r="DD28" s="53">
        <v>16.071206709713806</v>
      </c>
      <c r="DE28" s="53">
        <v>16.23388188588482</v>
      </c>
      <c r="DF28" s="53">
        <v>13.543678474142057</v>
      </c>
      <c r="DG28" s="53">
        <v>13.742196402728931</v>
      </c>
      <c r="DH28" s="53">
        <v>13.840814053782589</v>
      </c>
      <c r="DI28" s="53">
        <v>15.290687763366721</v>
      </c>
      <c r="DJ28" s="53">
        <v>15.621685827868189</v>
      </c>
      <c r="DK28" s="53">
        <v>16.098030254538212</v>
      </c>
      <c r="DL28" s="53">
        <v>15.98177931687502</v>
      </c>
      <c r="DM28" s="53">
        <v>15.426760450683505</v>
      </c>
      <c r="DN28" s="53">
        <v>12.83208631049699</v>
      </c>
      <c r="DO28" s="53">
        <v>15.430951390035567</v>
      </c>
      <c r="DP28" s="53">
        <v>16.447608249015442</v>
      </c>
      <c r="DQ28" s="53">
        <v>16.655991793229081</v>
      </c>
      <c r="DR28" s="53">
        <v>15.742876761081002</v>
      </c>
      <c r="DS28" s="53">
        <v>14.777464402845748</v>
      </c>
      <c r="DT28" s="53">
        <v>12.288937178146398</v>
      </c>
      <c r="DU28" s="53">
        <v>13.306574961207057</v>
      </c>
      <c r="DV28" s="53">
        <v>13.91</v>
      </c>
      <c r="DW28" s="53">
        <v>13.744747941532522</v>
      </c>
      <c r="DX28" s="53">
        <v>13.743463285367488</v>
      </c>
      <c r="DY28" s="53">
        <v>13.209095694898501</v>
      </c>
      <c r="DZ28" s="53">
        <v>13.347362451787209</v>
      </c>
      <c r="EA28" s="53">
        <v>13.434763195250508</v>
      </c>
      <c r="EB28" s="53">
        <v>13.331720721884835</v>
      </c>
      <c r="EC28" s="53">
        <v>13.352507324123408</v>
      </c>
      <c r="ED28" s="53">
        <v>13.265644224388996</v>
      </c>
      <c r="EE28" s="53">
        <v>13.23849433046302</v>
      </c>
      <c r="EF28" s="53">
        <v>13.604706385084734</v>
      </c>
      <c r="EG28" s="53">
        <v>12.656516793777145</v>
      </c>
      <c r="EH28" s="53">
        <v>12.421010710380028</v>
      </c>
      <c r="EI28" s="53">
        <v>12.84833951308649</v>
      </c>
      <c r="EJ28" s="53">
        <v>12.658361063163603</v>
      </c>
      <c r="EK28" s="53">
        <v>12.496335870494267</v>
      </c>
      <c r="EL28" s="53">
        <v>11.502632673512656</v>
      </c>
      <c r="EM28" s="53">
        <v>12.455579719435134</v>
      </c>
      <c r="EN28" s="53">
        <v>11.321781527490717</v>
      </c>
      <c r="EO28" s="53">
        <v>10.958989122632136</v>
      </c>
      <c r="EP28" s="53">
        <v>10.833115048348901</v>
      </c>
      <c r="EQ28" s="53">
        <v>11.161215920760327</v>
      </c>
      <c r="ER28" s="53">
        <v>10.299510464100738</v>
      </c>
      <c r="ES28" s="53">
        <v>14.96690702626185</v>
      </c>
      <c r="ET28" s="53">
        <v>17.636845550819039</v>
      </c>
      <c r="EU28" s="53">
        <v>18.470958504166727</v>
      </c>
      <c r="EV28" s="53">
        <v>18.33638825533885</v>
      </c>
      <c r="EW28" s="53">
        <v>13.319886664533168</v>
      </c>
      <c r="EX28" s="53">
        <v>13.392415988933177</v>
      </c>
      <c r="EY28" s="53">
        <v>13.363085558636936</v>
      </c>
      <c r="EZ28" s="53">
        <v>13.140505559271606</v>
      </c>
      <c r="FA28" s="53">
        <v>13.248720776051451</v>
      </c>
      <c r="FB28" s="53">
        <v>13.150258580944985</v>
      </c>
      <c r="FC28" s="53">
        <v>12.79501274840975</v>
      </c>
      <c r="FD28" s="53">
        <v>12.863687077098488</v>
      </c>
      <c r="FE28" s="53">
        <v>14.39455994551604</v>
      </c>
      <c r="FF28" s="53">
        <v>14.983432082780404</v>
      </c>
      <c r="FG28" s="53">
        <v>14.290969191508207</v>
      </c>
      <c r="FH28" s="53">
        <v>13.890888269467247</v>
      </c>
      <c r="FI28" s="53">
        <v>12.897963442806159</v>
      </c>
      <c r="FJ28" s="53">
        <v>12.654136370971974</v>
      </c>
      <c r="FK28" s="53">
        <v>12.814306495411392</v>
      </c>
      <c r="FL28" s="53">
        <v>13.182159447127404</v>
      </c>
      <c r="FM28" s="53">
        <v>13.560813355841772</v>
      </c>
      <c r="FN28" s="46">
        <v>13.451732196419824</v>
      </c>
      <c r="FO28" s="46">
        <v>13.185855923467059</v>
      </c>
      <c r="FP28" s="53">
        <v>12.67213153966377</v>
      </c>
      <c r="FQ28" s="53">
        <v>12.680823505903424</v>
      </c>
      <c r="FR28" s="53">
        <v>13.263837215758059</v>
      </c>
      <c r="FS28" s="46">
        <v>13.086607335174541</v>
      </c>
      <c r="FT28" s="46">
        <v>12.820750009967419</v>
      </c>
      <c r="FU28" s="46">
        <v>12.816072092390844</v>
      </c>
      <c r="FV28" s="46">
        <v>12.265248350463692</v>
      </c>
      <c r="FW28" s="53">
        <v>11.595074403433516</v>
      </c>
      <c r="FX28" s="53">
        <v>11.251013771234232</v>
      </c>
      <c r="FY28" s="53">
        <v>11.277300965907456</v>
      </c>
      <c r="FZ28" s="48">
        <v>11.308223969368768</v>
      </c>
      <c r="GA28" s="48">
        <v>11.456771765246536</v>
      </c>
      <c r="GB28" s="48">
        <v>10.776197454807646</v>
      </c>
      <c r="GC28" s="48">
        <v>10.955347444084554</v>
      </c>
      <c r="GD28" s="48">
        <v>10.810084341449659</v>
      </c>
      <c r="GE28" s="53">
        <v>11.810247011582526</v>
      </c>
      <c r="GF28" s="53">
        <v>11.897535730389215</v>
      </c>
      <c r="GG28" s="52">
        <v>10.798997914898331</v>
      </c>
      <c r="GH28" s="52">
        <v>11.843423133061201</v>
      </c>
      <c r="GI28" s="52">
        <v>11.7875136486294</v>
      </c>
      <c r="GJ28" s="52">
        <v>11.801950219106701</v>
      </c>
      <c r="GK28" s="52">
        <v>12.073154963687699</v>
      </c>
      <c r="GL28" s="52">
        <v>12.5151856978749</v>
      </c>
      <c r="GM28" s="50">
        <v>12.1763002001841</v>
      </c>
      <c r="GN28" s="50">
        <v>11.6773595303116</v>
      </c>
      <c r="GO28" s="50">
        <v>12.492248078945201</v>
      </c>
      <c r="GP28" s="50">
        <v>11.736956772230201</v>
      </c>
      <c r="GQ28" s="50">
        <v>11.193669382277699</v>
      </c>
      <c r="GR28" s="50">
        <v>11.4902825224887</v>
      </c>
      <c r="GS28" s="50">
        <v>11.1293714294802</v>
      </c>
      <c r="GT28" s="50">
        <v>11.522311887419701</v>
      </c>
      <c r="GU28" s="50">
        <v>12.4316485821056</v>
      </c>
      <c r="GV28" s="50">
        <v>12.491877835119601</v>
      </c>
      <c r="GW28" s="50">
        <v>12.06324185135</v>
      </c>
      <c r="GX28" s="50">
        <v>12.101203382484</v>
      </c>
      <c r="GY28" s="50">
        <v>12.101203382484</v>
      </c>
      <c r="GZ28" s="50">
        <v>13.2437288938353</v>
      </c>
      <c r="HA28" s="50">
        <v>13.5392100866862</v>
      </c>
      <c r="HB28" s="50">
        <v>11.5804825189191</v>
      </c>
      <c r="HC28" s="50">
        <v>13.3144207355069</v>
      </c>
      <c r="HD28" s="50">
        <v>11.4633586134594</v>
      </c>
      <c r="HE28" s="50">
        <v>11.353060721102899</v>
      </c>
      <c r="HF28" s="50">
        <v>10.972178973795801</v>
      </c>
      <c r="HG28" s="50">
        <v>11.5097886131409</v>
      </c>
      <c r="HH28" s="50">
        <v>12.226201475036399</v>
      </c>
      <c r="HI28" s="50">
        <v>14.458362118709999</v>
      </c>
      <c r="HJ28" s="50">
        <v>13.719398549980999</v>
      </c>
      <c r="HK28" s="50">
        <v>13.173119290275</v>
      </c>
      <c r="HL28" s="50">
        <v>11.9798355909862</v>
      </c>
      <c r="HM28" s="50">
        <v>11.9844066022359</v>
      </c>
      <c r="HN28" s="50">
        <v>13.398664674404399</v>
      </c>
      <c r="HO28" s="50">
        <v>13.4344707172725</v>
      </c>
      <c r="HP28" s="50">
        <v>12.879714215920901</v>
      </c>
      <c r="HQ28" s="50">
        <v>12.9593833751804</v>
      </c>
      <c r="HR28" s="50">
        <v>11.0452387496677</v>
      </c>
      <c r="HS28" s="50">
        <v>10.964059025744699</v>
      </c>
      <c r="HT28" s="50">
        <v>10.386988298432</v>
      </c>
      <c r="HU28" s="50">
        <v>9.0563819862171808</v>
      </c>
      <c r="HV28" s="50">
        <v>9.9086846728016198</v>
      </c>
      <c r="HW28" s="50">
        <v>10.6123892686365</v>
      </c>
      <c r="HX28" s="50">
        <v>12.4141693056108</v>
      </c>
      <c r="HY28" s="50">
        <v>11.493337125654801</v>
      </c>
      <c r="HZ28" s="50">
        <v>11.3045366468113</v>
      </c>
      <c r="IA28" s="50">
        <v>11.5133701376429</v>
      </c>
    </row>
    <row r="29" spans="1:451">
      <c r="A29" s="12" t="s">
        <v>257</v>
      </c>
      <c r="B29" s="33" t="s">
        <v>205</v>
      </c>
      <c r="C29" s="12" t="s">
        <v>257</v>
      </c>
      <c r="D29" s="53">
        <v>19.170000000000002</v>
      </c>
      <c r="E29" s="53">
        <v>17.78</v>
      </c>
      <c r="F29" s="53">
        <v>17.97</v>
      </c>
      <c r="G29" s="53">
        <v>18.47</v>
      </c>
      <c r="H29" s="53">
        <v>19.5</v>
      </c>
      <c r="I29" s="53">
        <v>19.649999999999999</v>
      </c>
      <c r="J29" s="53">
        <v>20.2</v>
      </c>
      <c r="K29" s="53">
        <v>20.36</v>
      </c>
      <c r="L29" s="53">
        <v>20.23</v>
      </c>
      <c r="M29" s="53">
        <v>19.670000000000002</v>
      </c>
      <c r="N29" s="53">
        <v>16.90591775741758</v>
      </c>
      <c r="O29" s="53">
        <v>16.802245545914651</v>
      </c>
      <c r="P29" s="53">
        <v>18.749061633537544</v>
      </c>
      <c r="Q29" s="53">
        <v>17.823933207736555</v>
      </c>
      <c r="R29" s="53">
        <v>18.174006334174557</v>
      </c>
      <c r="S29" s="53">
        <v>18.825455081224028</v>
      </c>
      <c r="T29" s="53">
        <v>19.204548221378385</v>
      </c>
      <c r="U29" s="53">
        <v>19.460259805238575</v>
      </c>
      <c r="V29" s="53">
        <v>19.436487530359379</v>
      </c>
      <c r="W29" s="53">
        <v>19.899679061066799</v>
      </c>
      <c r="X29" s="53">
        <v>19.477058613112579</v>
      </c>
      <c r="Y29" s="53">
        <v>19.997690044542995</v>
      </c>
      <c r="Z29" s="53">
        <v>19.267072389091535</v>
      </c>
      <c r="AA29" s="53">
        <v>19.110182366314</v>
      </c>
      <c r="AB29" s="53">
        <v>19.163910950376088</v>
      </c>
      <c r="AC29" s="53">
        <v>18.908094367663182</v>
      </c>
      <c r="AD29" s="53">
        <v>18.442730493155452</v>
      </c>
      <c r="AE29" s="53">
        <v>18.586534364367171</v>
      </c>
      <c r="AF29" s="53">
        <v>18.263468422824111</v>
      </c>
      <c r="AG29" s="53">
        <v>18.489895722197534</v>
      </c>
      <c r="AH29" s="53">
        <v>18.652676486256304</v>
      </c>
      <c r="AI29" s="53">
        <v>18.628917985253583</v>
      </c>
      <c r="AJ29" s="53">
        <v>18.427947062814525</v>
      </c>
      <c r="AK29" s="53">
        <v>18.593898340438695</v>
      </c>
      <c r="AL29" s="53">
        <v>19.077342330922864</v>
      </c>
      <c r="AM29" s="53">
        <v>19.192083796363228</v>
      </c>
      <c r="AN29" s="53">
        <v>19.071965497810673</v>
      </c>
      <c r="AO29" s="53">
        <v>18.587925374744128</v>
      </c>
      <c r="AP29" s="53">
        <v>19.280767481950846</v>
      </c>
      <c r="AQ29" s="53">
        <v>19.184610509791156</v>
      </c>
      <c r="AR29" s="53">
        <v>18.745633845658276</v>
      </c>
      <c r="AS29" s="53">
        <v>19.202389912082616</v>
      </c>
      <c r="AT29" s="53">
        <v>18.951000776894602</v>
      </c>
      <c r="AU29" s="53">
        <v>18.845781442456271</v>
      </c>
      <c r="AV29" s="53">
        <v>19.22902877539352</v>
      </c>
      <c r="AW29" s="53">
        <v>19.320210585859616</v>
      </c>
      <c r="AX29" s="53">
        <v>20.049249268575497</v>
      </c>
      <c r="AY29" s="53">
        <v>20.194381273391212</v>
      </c>
      <c r="AZ29" s="53">
        <v>20.301129450403323</v>
      </c>
      <c r="BA29" s="53">
        <v>18.792360348876564</v>
      </c>
      <c r="BB29" s="53">
        <v>18.707907059756366</v>
      </c>
      <c r="BC29" s="53">
        <v>19.156956433247533</v>
      </c>
      <c r="BD29" s="53">
        <v>18.791856208697624</v>
      </c>
      <c r="BE29" s="53">
        <v>17.473846896335044</v>
      </c>
      <c r="BF29" s="53">
        <v>16.361545393674618</v>
      </c>
      <c r="BG29" s="53">
        <v>17.057670050180462</v>
      </c>
      <c r="BH29" s="53">
        <v>13.670126163513673</v>
      </c>
      <c r="BI29" s="53">
        <v>13.716193827882998</v>
      </c>
      <c r="BJ29" s="53">
        <v>13.705133354260093</v>
      </c>
      <c r="BK29" s="53">
        <v>14.218317546716106</v>
      </c>
      <c r="BL29" s="53">
        <v>14.674413455600055</v>
      </c>
      <c r="BM29" s="53">
        <v>14.740714344082598</v>
      </c>
      <c r="BN29" s="53">
        <v>15.590684513716196</v>
      </c>
      <c r="BO29" s="53">
        <v>17.877441645216496</v>
      </c>
      <c r="BP29" s="53">
        <v>18.997688635795537</v>
      </c>
      <c r="BQ29" s="53">
        <v>18.1595210742273</v>
      </c>
      <c r="BR29" s="53">
        <v>18.13575777144835</v>
      </c>
      <c r="BS29" s="53">
        <v>17.379053883327799</v>
      </c>
      <c r="BT29" s="53">
        <v>17.42444858712707</v>
      </c>
      <c r="BU29" s="53">
        <v>17.287998966498805</v>
      </c>
      <c r="BV29" s="53">
        <v>19.142116845395982</v>
      </c>
      <c r="BW29" s="53">
        <v>18.687250328775409</v>
      </c>
      <c r="BX29" s="53">
        <v>17.91757731768713</v>
      </c>
      <c r="BY29" s="53">
        <v>18.749814219118441</v>
      </c>
      <c r="BZ29" s="53">
        <v>19.255652288758679</v>
      </c>
      <c r="CA29" s="53">
        <v>18.731077464021549</v>
      </c>
      <c r="CB29" s="53">
        <v>18.524104346676914</v>
      </c>
      <c r="CC29" s="53">
        <v>18.375520845152916</v>
      </c>
      <c r="CD29" s="53">
        <v>17.766157850974999</v>
      </c>
      <c r="CE29" s="53">
        <v>17.350278827986845</v>
      </c>
      <c r="CF29" s="53">
        <v>16.992045143580299</v>
      </c>
      <c r="CG29" s="53">
        <v>16.846668349318527</v>
      </c>
      <c r="CH29" s="53">
        <v>17.056908746764481</v>
      </c>
      <c r="CI29" s="53">
        <v>17.582792256393841</v>
      </c>
      <c r="CJ29" s="53">
        <v>17.181608673588041</v>
      </c>
      <c r="CK29" s="53">
        <v>17.245335332730107</v>
      </c>
      <c r="CL29" s="53">
        <v>17.442564038985758</v>
      </c>
      <c r="CM29" s="53">
        <v>16.737453177299379</v>
      </c>
      <c r="CN29" s="53">
        <v>16.047430170158858</v>
      </c>
      <c r="CO29" s="53">
        <v>16.406293226122415</v>
      </c>
      <c r="CP29" s="53">
        <v>16.035768832256785</v>
      </c>
      <c r="CQ29" s="53">
        <v>15.91179280898449</v>
      </c>
      <c r="CR29" s="53">
        <v>15.213975138220325</v>
      </c>
      <c r="CS29" s="53">
        <v>15.26993981951895</v>
      </c>
      <c r="CT29" s="53">
        <v>15.516630414435586</v>
      </c>
      <c r="CU29" s="53">
        <v>15.898604967783575</v>
      </c>
      <c r="CV29" s="53">
        <v>15.959342526109104</v>
      </c>
      <c r="CW29" s="53">
        <v>15.754163685978623</v>
      </c>
      <c r="CX29" s="53">
        <v>16.221564355888848</v>
      </c>
      <c r="CY29" s="53">
        <v>17.089236876097509</v>
      </c>
      <c r="CZ29" s="53">
        <v>16.816439152546593</v>
      </c>
      <c r="DA29" s="53">
        <v>15.307561685710782</v>
      </c>
      <c r="DB29" s="53">
        <v>16.107309260595493</v>
      </c>
      <c r="DC29" s="53">
        <v>12.752547250783397</v>
      </c>
      <c r="DD29" s="53">
        <v>13.127057116634646</v>
      </c>
      <c r="DE29" s="53">
        <v>12.703607961105471</v>
      </c>
      <c r="DF29" s="53">
        <v>12.225654178216933</v>
      </c>
      <c r="DG29" s="53">
        <v>15.563796350187525</v>
      </c>
      <c r="DH29" s="53">
        <v>15.000983477747063</v>
      </c>
      <c r="DI29" s="53">
        <v>14.545613046710196</v>
      </c>
      <c r="DJ29" s="53">
        <v>14.332572634747267</v>
      </c>
      <c r="DK29" s="53">
        <v>14.33747103509803</v>
      </c>
      <c r="DL29" s="53">
        <v>13.387383879802247</v>
      </c>
      <c r="DM29" s="53">
        <v>14.164568215772317</v>
      </c>
      <c r="DN29" s="53">
        <v>14.295203796057256</v>
      </c>
      <c r="DO29" s="53">
        <v>14.777799534970098</v>
      </c>
      <c r="DP29" s="53">
        <v>14.794664941453279</v>
      </c>
      <c r="DQ29" s="53">
        <v>14.994081988314496</v>
      </c>
      <c r="DR29" s="53">
        <v>14.460093771426019</v>
      </c>
      <c r="DS29" s="53">
        <v>14.294939764511565</v>
      </c>
      <c r="DT29" s="53">
        <v>12.972699202419587</v>
      </c>
      <c r="DU29" s="53">
        <v>12.989601874648651</v>
      </c>
      <c r="DV29" s="53">
        <v>13.01</v>
      </c>
      <c r="DW29" s="53">
        <v>12.765308456781836</v>
      </c>
      <c r="DX29" s="53">
        <v>12.997710331562816</v>
      </c>
      <c r="DY29" s="53">
        <v>13.12250602750937</v>
      </c>
      <c r="DZ29" s="53">
        <v>13.260937574496046</v>
      </c>
      <c r="EA29" s="53">
        <v>13.396036137625716</v>
      </c>
      <c r="EB29" s="53">
        <v>13.237274500128146</v>
      </c>
      <c r="EC29" s="53">
        <v>13.538668650220295</v>
      </c>
      <c r="ED29" s="53">
        <v>13.082612512424317</v>
      </c>
      <c r="EE29" s="53">
        <v>13.923454138622029</v>
      </c>
      <c r="EF29" s="53">
        <v>14.133029092662509</v>
      </c>
      <c r="EG29" s="53">
        <v>14.355259514493643</v>
      </c>
      <c r="EH29" s="53">
        <v>14.616480355903599</v>
      </c>
      <c r="EI29" s="53">
        <v>16.149615881161065</v>
      </c>
      <c r="EJ29" s="53">
        <v>15.131120906421089</v>
      </c>
      <c r="EK29" s="53">
        <v>16.485230069826535</v>
      </c>
      <c r="EL29" s="53">
        <v>16.25289139058718</v>
      </c>
      <c r="EM29" s="53">
        <v>14.195950711407342</v>
      </c>
      <c r="EN29" s="53">
        <v>13.923449729277397</v>
      </c>
      <c r="EO29" s="53">
        <v>13.739690934919583</v>
      </c>
      <c r="EP29" s="53">
        <v>14.560173188124995</v>
      </c>
      <c r="EQ29" s="53">
        <v>14.933113134604474</v>
      </c>
      <c r="ER29" s="53">
        <v>15.126997943837216</v>
      </c>
      <c r="ES29" s="53">
        <v>15.741056396599511</v>
      </c>
      <c r="ET29" s="53">
        <v>15.734972012053969</v>
      </c>
      <c r="EU29" s="53">
        <v>15.719532190919223</v>
      </c>
      <c r="EV29" s="53">
        <v>16.029873261901724</v>
      </c>
      <c r="EW29" s="53">
        <v>16.411038879482348</v>
      </c>
      <c r="EX29" s="53">
        <v>16.54193115738795</v>
      </c>
      <c r="EY29" s="53">
        <v>16.79835863838672</v>
      </c>
      <c r="EZ29" s="53">
        <v>16.700220844222088</v>
      </c>
      <c r="FA29" s="53">
        <v>16.894500776584231</v>
      </c>
      <c r="FB29" s="53">
        <v>16.869095222410071</v>
      </c>
      <c r="FC29" s="53">
        <v>16.74934801457546</v>
      </c>
      <c r="FD29" s="53">
        <v>16.512786347788698</v>
      </c>
      <c r="FE29" s="53">
        <v>16.488599510322334</v>
      </c>
      <c r="FF29" s="53">
        <v>16.330845808586293</v>
      </c>
      <c r="FG29" s="53">
        <v>16.124574069516058</v>
      </c>
      <c r="FH29" s="53">
        <v>15.947189532447153</v>
      </c>
      <c r="FI29" s="53">
        <v>16.100570881535521</v>
      </c>
      <c r="FJ29" s="53">
        <v>15.908085632377714</v>
      </c>
      <c r="FK29" s="53">
        <v>15.38346280810925</v>
      </c>
      <c r="FL29" s="53">
        <v>16.247374394233301</v>
      </c>
      <c r="FM29" s="53">
        <v>15.232046215560086</v>
      </c>
      <c r="FN29" s="53">
        <v>14.645902997124411</v>
      </c>
      <c r="FO29" s="53">
        <v>14.51834418301039</v>
      </c>
      <c r="FP29" s="53">
        <v>14.099593443526565</v>
      </c>
      <c r="FQ29" s="53">
        <v>12.765066166267591</v>
      </c>
      <c r="FR29" s="53">
        <v>13.077253917698306</v>
      </c>
      <c r="FS29" s="53">
        <v>12.575002236463625</v>
      </c>
      <c r="FT29" s="46">
        <v>11.219883767631163</v>
      </c>
      <c r="FU29" s="46">
        <v>11.82550458744152</v>
      </c>
      <c r="FV29" s="46">
        <v>12.752272633563383</v>
      </c>
      <c r="FW29" s="46">
        <v>12.928005279643518</v>
      </c>
      <c r="FX29" s="46">
        <v>13.013913591992926</v>
      </c>
      <c r="FY29" s="53">
        <v>13.202130496677722</v>
      </c>
      <c r="FZ29" s="53">
        <v>13.153538778544176</v>
      </c>
      <c r="GA29" s="48">
        <v>12.925735676730563</v>
      </c>
      <c r="GB29" s="48">
        <v>12.876962106657709</v>
      </c>
      <c r="GC29" s="48">
        <v>12.684526321272761</v>
      </c>
      <c r="GD29" s="48">
        <v>12.499356955715831</v>
      </c>
      <c r="GE29" s="53">
        <v>12.535796881103792</v>
      </c>
      <c r="GF29" s="53">
        <v>12.392461617401766</v>
      </c>
      <c r="GG29" s="52">
        <v>11.921950451094387</v>
      </c>
      <c r="GH29" s="52">
        <v>11.9363236949417</v>
      </c>
      <c r="GI29" s="52">
        <v>12.0478103075568</v>
      </c>
      <c r="GJ29" s="52">
        <v>12.136423140987599</v>
      </c>
      <c r="GK29" s="52">
        <v>12.030857009507701</v>
      </c>
      <c r="GL29" s="52">
        <v>12.253319113727599</v>
      </c>
      <c r="GM29" s="50">
        <v>11.7873192647849</v>
      </c>
      <c r="GN29" s="50">
        <v>11.290770994239001</v>
      </c>
      <c r="GO29" s="50">
        <v>11.193023330012</v>
      </c>
      <c r="GP29" s="50">
        <v>11.338007827232699</v>
      </c>
      <c r="GQ29" s="50">
        <v>11.341570137766499</v>
      </c>
      <c r="GR29" s="50">
        <v>11.7178342742337</v>
      </c>
      <c r="GS29" s="50">
        <v>11.8063171972675</v>
      </c>
      <c r="GT29" s="50">
        <v>11.700738206117</v>
      </c>
      <c r="GU29" s="50">
        <v>11.397072961110799</v>
      </c>
      <c r="GV29" s="50">
        <v>11.2888615249497</v>
      </c>
      <c r="GW29" s="50">
        <v>11.377158731320201</v>
      </c>
      <c r="GX29" s="50">
        <v>11.4197908124143</v>
      </c>
      <c r="GY29" s="50">
        <v>11.4197908124143</v>
      </c>
      <c r="GZ29" s="50">
        <v>11.472766797310801</v>
      </c>
      <c r="HA29" s="50">
        <v>11.5032143287388</v>
      </c>
      <c r="HB29" s="50">
        <v>11.666489262041001</v>
      </c>
      <c r="HC29" s="50">
        <v>11.6676264190918</v>
      </c>
      <c r="HD29" s="50">
        <v>11.4478898148963</v>
      </c>
      <c r="HE29" s="50">
        <v>11.5111666774615</v>
      </c>
      <c r="HF29" s="50">
        <v>11.414448050536199</v>
      </c>
      <c r="HG29" s="50">
        <v>11.2174483631853</v>
      </c>
      <c r="HH29" s="50">
        <v>11.166181968889401</v>
      </c>
      <c r="HI29" s="50">
        <v>11.0777187463366</v>
      </c>
      <c r="HJ29" s="50">
        <v>11.326099813626501</v>
      </c>
      <c r="HK29" s="50">
        <v>11.7457906025773</v>
      </c>
      <c r="HL29" s="50">
        <v>12.0131051366301</v>
      </c>
      <c r="HM29" s="50">
        <v>11.483785596392501</v>
      </c>
      <c r="HN29" s="50">
        <v>11.5809243687474</v>
      </c>
      <c r="HO29" s="50">
        <v>11.6975103857232</v>
      </c>
      <c r="HP29" s="50">
        <v>11.312583926238499</v>
      </c>
      <c r="HQ29" s="50">
        <v>11.3877861130497</v>
      </c>
      <c r="HR29" s="50">
        <v>11.360065018851399</v>
      </c>
      <c r="HS29" s="50">
        <v>11.373937630371699</v>
      </c>
      <c r="HT29" s="50">
        <v>11.311216237448701</v>
      </c>
      <c r="HU29" s="50">
        <v>11.250538865860699</v>
      </c>
      <c r="HV29" s="50">
        <v>11.283781988606799</v>
      </c>
      <c r="HW29" s="50">
        <v>11.0486594666913</v>
      </c>
      <c r="HX29" s="50">
        <v>10.1366702990444</v>
      </c>
      <c r="HY29" s="50">
        <v>10.128854582203299</v>
      </c>
      <c r="HZ29" s="50">
        <v>9.9038143424498202</v>
      </c>
      <c r="IA29" s="50">
        <v>10.557184696503599</v>
      </c>
    </row>
    <row r="30" spans="1:451">
      <c r="A30" s="12" t="s">
        <v>258</v>
      </c>
      <c r="B30" s="33" t="s">
        <v>206</v>
      </c>
      <c r="C30" s="12" t="s">
        <v>258</v>
      </c>
      <c r="D30" s="53">
        <v>16.079999999999998</v>
      </c>
      <c r="E30" s="53">
        <v>16.29</v>
      </c>
      <c r="F30" s="53">
        <v>16.46</v>
      </c>
      <c r="G30" s="53">
        <v>16.3</v>
      </c>
      <c r="H30" s="53">
        <v>15.88</v>
      </c>
      <c r="I30" s="53">
        <v>16.48</v>
      </c>
      <c r="J30" s="53">
        <v>16.72</v>
      </c>
      <c r="K30" s="53">
        <v>17.07</v>
      </c>
      <c r="L30" s="53">
        <v>17.39</v>
      </c>
      <c r="M30" s="53">
        <v>17.239999999999998</v>
      </c>
      <c r="N30" s="53">
        <v>16.531147670066868</v>
      </c>
      <c r="O30" s="53">
        <v>16.77002866758454</v>
      </c>
      <c r="P30" s="53">
        <v>15.819789215674401</v>
      </c>
      <c r="Q30" s="53">
        <v>15.760469125997316</v>
      </c>
      <c r="R30" s="53">
        <v>15.462178549449986</v>
      </c>
      <c r="S30" s="53">
        <v>15.285190614850862</v>
      </c>
      <c r="T30" s="53">
        <v>15.630264455711636</v>
      </c>
      <c r="U30" s="53">
        <v>14.708189444417812</v>
      </c>
      <c r="V30" s="53">
        <v>14.432856727127765</v>
      </c>
      <c r="W30" s="53">
        <v>14.974998661280747</v>
      </c>
      <c r="X30" s="53">
        <v>15.112997808714992</v>
      </c>
      <c r="Y30" s="53">
        <v>15.027924928007829</v>
      </c>
      <c r="Z30" s="53">
        <v>14.964998556542309</v>
      </c>
      <c r="AA30" s="53">
        <v>14.605246524561338</v>
      </c>
      <c r="AB30" s="53">
        <v>14.113246242757905</v>
      </c>
      <c r="AC30" s="53">
        <v>13.450462430847226</v>
      </c>
      <c r="AD30" s="53">
        <v>14.395215530637214</v>
      </c>
      <c r="AE30" s="53">
        <v>14.938374454149628</v>
      </c>
      <c r="AF30" s="53">
        <v>16.500429290467959</v>
      </c>
      <c r="AG30" s="53">
        <v>16.670629572386698</v>
      </c>
      <c r="AH30" s="53">
        <v>17.427530284413233</v>
      </c>
      <c r="AI30" s="53">
        <v>17.279746875594689</v>
      </c>
      <c r="AJ30" s="53">
        <v>18.189754639401063</v>
      </c>
      <c r="AK30" s="53">
        <v>17.297790036690333</v>
      </c>
      <c r="AL30" s="53">
        <v>17.532138342101547</v>
      </c>
      <c r="AM30" s="53">
        <v>18.557840122575161</v>
      </c>
      <c r="AN30" s="53">
        <v>18.332569237766688</v>
      </c>
      <c r="AO30" s="53">
        <v>15.605124157558302</v>
      </c>
      <c r="AP30" s="53">
        <v>19.89786890520762</v>
      </c>
      <c r="AQ30" s="53">
        <v>19.23998779375211</v>
      </c>
      <c r="AR30" s="53">
        <v>19.941320502283091</v>
      </c>
      <c r="AS30" s="53">
        <v>20.342688598792851</v>
      </c>
      <c r="AT30" s="53">
        <v>19.535554963587469</v>
      </c>
      <c r="AU30" s="53">
        <v>19.392636559565592</v>
      </c>
      <c r="AV30" s="53">
        <v>19.913496061272159</v>
      </c>
      <c r="AW30" s="53">
        <v>19.798979247282578</v>
      </c>
      <c r="AX30" s="53">
        <v>19.873350510493612</v>
      </c>
      <c r="AY30" s="53">
        <v>19.928842586307649</v>
      </c>
      <c r="AZ30" s="53">
        <v>19.651683724935772</v>
      </c>
      <c r="BA30" s="53">
        <v>20.318481691206145</v>
      </c>
      <c r="BB30" s="53">
        <v>20.288083003982475</v>
      </c>
      <c r="BC30" s="53">
        <v>20.640675337327338</v>
      </c>
      <c r="BD30" s="53">
        <v>20.703114351067306</v>
      </c>
      <c r="BE30" s="53">
        <v>18.168799559179128</v>
      </c>
      <c r="BF30" s="53">
        <v>18.891828485345027</v>
      </c>
      <c r="BG30" s="53">
        <v>17.549353737601493</v>
      </c>
      <c r="BH30" s="53">
        <v>15.959003739154827</v>
      </c>
      <c r="BI30" s="53">
        <v>15.653721569774607</v>
      </c>
      <c r="BJ30" s="53">
        <v>15.462172797883319</v>
      </c>
      <c r="BK30" s="53">
        <v>15.561927109956326</v>
      </c>
      <c r="BL30" s="53">
        <v>13.293022729736585</v>
      </c>
      <c r="BM30" s="53">
        <v>16.887524645472549</v>
      </c>
      <c r="BN30" s="53">
        <v>14.454141493750177</v>
      </c>
      <c r="BO30" s="53">
        <v>16.652834382952882</v>
      </c>
      <c r="BP30" s="53">
        <v>15.971023606565382</v>
      </c>
      <c r="BQ30" s="53">
        <v>13.253856148769836</v>
      </c>
      <c r="BR30" s="53">
        <v>15.558742913858477</v>
      </c>
      <c r="BS30" s="53">
        <v>15.744379140584432</v>
      </c>
      <c r="BT30" s="53">
        <v>14.513078932417811</v>
      </c>
      <c r="BU30" s="53">
        <v>13.025586939359689</v>
      </c>
      <c r="BV30" s="53">
        <v>11.919100627600596</v>
      </c>
      <c r="BW30" s="53">
        <v>11.815725494162391</v>
      </c>
      <c r="BX30" s="53">
        <v>12.265971593793953</v>
      </c>
      <c r="BY30" s="53">
        <v>14.714151064274347</v>
      </c>
      <c r="BZ30" s="53">
        <v>14.914208232655989</v>
      </c>
      <c r="CA30" s="53">
        <v>15.364218251128531</v>
      </c>
      <c r="CB30" s="53">
        <v>15.069928285690853</v>
      </c>
      <c r="CC30" s="53">
        <v>14.823220823148079</v>
      </c>
      <c r="CD30" s="53">
        <v>15.066130204240855</v>
      </c>
      <c r="CE30" s="53">
        <v>14.973349036480267</v>
      </c>
      <c r="CF30" s="53">
        <v>14.80332585959351</v>
      </c>
      <c r="CG30" s="53">
        <v>14.842332726024139</v>
      </c>
      <c r="CH30" s="53">
        <v>14.680128317024169</v>
      </c>
      <c r="CI30" s="53">
        <v>14.763835041482706</v>
      </c>
      <c r="CJ30" s="53">
        <v>15.234816156892453</v>
      </c>
      <c r="CK30" s="53">
        <v>15.021616085292074</v>
      </c>
      <c r="CL30" s="53">
        <v>15.105601305374254</v>
      </c>
      <c r="CM30" s="53">
        <v>15.142381721825716</v>
      </c>
      <c r="CN30" s="53">
        <v>15.162670564192057</v>
      </c>
      <c r="CO30" s="53">
        <v>13.839891595791215</v>
      </c>
      <c r="CP30" s="53">
        <v>13.996088043767884</v>
      </c>
      <c r="CQ30" s="53">
        <v>13.821955786503011</v>
      </c>
      <c r="CR30" s="53">
        <v>13.741657277036927</v>
      </c>
      <c r="CS30" s="53">
        <v>13.996167872058674</v>
      </c>
      <c r="CT30" s="53">
        <v>14.418646502136358</v>
      </c>
      <c r="CU30" s="53">
        <v>14.450936968910014</v>
      </c>
      <c r="CV30" s="53">
        <v>14.498748837393531</v>
      </c>
      <c r="CW30" s="53">
        <v>14.358474882211951</v>
      </c>
      <c r="CX30" s="53">
        <v>14.430821941368315</v>
      </c>
      <c r="CY30" s="53">
        <v>15.165038952927913</v>
      </c>
      <c r="CZ30" s="53">
        <v>15.60655833768797</v>
      </c>
      <c r="DA30" s="53">
        <v>15.520547302869996</v>
      </c>
      <c r="DB30" s="53">
        <v>14.514233937269911</v>
      </c>
      <c r="DC30" s="53">
        <v>14.623515421351613</v>
      </c>
      <c r="DD30" s="53">
        <v>14.398651074980762</v>
      </c>
      <c r="DE30" s="53">
        <v>14.318741332665459</v>
      </c>
      <c r="DF30" s="53">
        <v>14.62438039259937</v>
      </c>
      <c r="DG30" s="53">
        <v>15.007428396183212</v>
      </c>
      <c r="DH30" s="53">
        <v>15.129172140142508</v>
      </c>
      <c r="DI30" s="53">
        <v>14.401894898660528</v>
      </c>
      <c r="DJ30" s="53">
        <v>13.010718770303626</v>
      </c>
      <c r="DK30" s="53">
        <v>17.251797491180245</v>
      </c>
      <c r="DL30" s="53">
        <v>17.31529882807525</v>
      </c>
      <c r="DM30" s="53">
        <v>17.918054460635936</v>
      </c>
      <c r="DN30" s="53">
        <v>16.216930110364409</v>
      </c>
      <c r="DO30" s="53">
        <v>16.212165849133164</v>
      </c>
      <c r="DP30" s="53">
        <v>14.499218257103863</v>
      </c>
      <c r="DQ30" s="53">
        <v>15.090339301804413</v>
      </c>
      <c r="DR30" s="53">
        <v>14.340120344580411</v>
      </c>
      <c r="DS30" s="53">
        <v>15.732724356815382</v>
      </c>
      <c r="DT30" s="53">
        <v>15.137741844706312</v>
      </c>
      <c r="DU30" s="53">
        <v>14.194619435438412</v>
      </c>
      <c r="DV30" s="53">
        <v>13.99</v>
      </c>
      <c r="DW30" s="53">
        <v>13.778619158165366</v>
      </c>
      <c r="DX30" s="53">
        <v>14.165242294728571</v>
      </c>
      <c r="DY30" s="53">
        <v>14.005868538614548</v>
      </c>
      <c r="DZ30" s="53">
        <v>14.088890472193533</v>
      </c>
      <c r="EA30" s="53">
        <v>14.686310787807578</v>
      </c>
      <c r="EB30" s="53">
        <v>14.439558415449298</v>
      </c>
      <c r="EC30" s="53">
        <v>15.712899705424157</v>
      </c>
      <c r="ED30" s="53">
        <v>14.888446502525481</v>
      </c>
      <c r="EE30" s="53">
        <v>15.324267296142844</v>
      </c>
      <c r="EF30" s="53">
        <v>15.260371354822821</v>
      </c>
      <c r="EG30" s="53">
        <v>13.977629869359747</v>
      </c>
      <c r="EH30" s="53">
        <v>13.126090465619011</v>
      </c>
      <c r="EI30" s="53">
        <v>12.16310961782094</v>
      </c>
      <c r="EJ30" s="53">
        <v>14.7782212624753</v>
      </c>
      <c r="EK30" s="53">
        <v>12.340339958163884</v>
      </c>
      <c r="EL30" s="53">
        <v>13.755968549991893</v>
      </c>
      <c r="EM30" s="53">
        <v>14.374646733728834</v>
      </c>
      <c r="EN30" s="53">
        <v>14.069043681806342</v>
      </c>
      <c r="EO30" s="53">
        <v>14.341032370811902</v>
      </c>
      <c r="EP30" s="53">
        <v>13.29547608244923</v>
      </c>
      <c r="EQ30" s="53">
        <v>13.422949469082573</v>
      </c>
      <c r="ER30" s="53">
        <v>15.567507808783256</v>
      </c>
      <c r="ES30" s="53">
        <v>16.80097950967043</v>
      </c>
      <c r="ET30" s="53">
        <v>16.444432680462373</v>
      </c>
      <c r="EU30" s="53">
        <v>16.679163062221651</v>
      </c>
      <c r="EV30" s="53">
        <v>12.603050746945874</v>
      </c>
      <c r="EW30" s="53">
        <v>12.726080060445618</v>
      </c>
      <c r="EX30" s="53">
        <v>12.535684775418208</v>
      </c>
      <c r="EY30" s="53">
        <v>12.384526400456854</v>
      </c>
      <c r="EZ30" s="53">
        <v>15.291341849436261</v>
      </c>
      <c r="FA30" s="53">
        <v>16.608051463436311</v>
      </c>
      <c r="FB30" s="53">
        <v>16.606418349762208</v>
      </c>
      <c r="FC30" s="53">
        <v>16.30647891467169</v>
      </c>
      <c r="FD30" s="53">
        <v>15.412273161165347</v>
      </c>
      <c r="FE30" s="53">
        <v>15.246977643382223</v>
      </c>
      <c r="FF30" s="53">
        <v>15.850578782231734</v>
      </c>
      <c r="FG30" s="53">
        <v>15.704508171014679</v>
      </c>
      <c r="FH30" s="53">
        <v>15.382588163251487</v>
      </c>
      <c r="FI30" s="53">
        <v>15.444959510955814</v>
      </c>
      <c r="FJ30" s="53">
        <v>15.260656500230468</v>
      </c>
      <c r="FK30" s="53">
        <v>14.902519043697723</v>
      </c>
      <c r="FL30" s="53">
        <v>14.775999235162962</v>
      </c>
      <c r="FM30" s="53">
        <v>14.152537604183211</v>
      </c>
      <c r="FN30" s="53">
        <v>13.912975715464562</v>
      </c>
      <c r="FO30" s="53">
        <v>14.153496359620906</v>
      </c>
      <c r="FP30" s="53">
        <v>13.997902966101314</v>
      </c>
      <c r="FQ30" s="53">
        <v>13.838821742304793</v>
      </c>
      <c r="FR30" s="53">
        <v>15.03217729821997</v>
      </c>
      <c r="FS30" s="53">
        <v>14.934204926030956</v>
      </c>
      <c r="FT30" s="53">
        <v>14.997998470765758</v>
      </c>
      <c r="FU30" s="46">
        <v>15.123647073959429</v>
      </c>
      <c r="FV30" s="46">
        <v>14.880295577636513</v>
      </c>
      <c r="FW30" s="46">
        <v>14.600727797540763</v>
      </c>
      <c r="FX30" s="46">
        <v>14.722975534204453</v>
      </c>
      <c r="FY30" s="46">
        <v>14.669784008901068</v>
      </c>
      <c r="FZ30" s="53">
        <v>15.230323787875808</v>
      </c>
      <c r="GA30" s="53">
        <v>15.642902593353856</v>
      </c>
      <c r="GB30" s="48">
        <v>15.330974752267844</v>
      </c>
      <c r="GC30" s="48">
        <v>14.930251209607123</v>
      </c>
      <c r="GD30" s="48">
        <v>14.64589197939155</v>
      </c>
      <c r="GE30" s="53">
        <v>13.14642287698071</v>
      </c>
      <c r="GF30" s="53">
        <v>13.056565429111286</v>
      </c>
      <c r="GG30" s="52">
        <v>12.584433644330467</v>
      </c>
      <c r="GH30" s="52">
        <v>12.9759698609335</v>
      </c>
      <c r="GI30" s="52">
        <v>12.915112382933</v>
      </c>
      <c r="GJ30" s="52">
        <v>13.2251607309537</v>
      </c>
      <c r="GK30" s="52">
        <v>13.187477550940301</v>
      </c>
      <c r="GL30" s="52">
        <v>12.9346827194481</v>
      </c>
      <c r="GM30" s="50">
        <v>12.733741764515001</v>
      </c>
      <c r="GN30" s="50">
        <v>12.685764694157999</v>
      </c>
      <c r="GO30" s="50">
        <v>12.5951895616053</v>
      </c>
      <c r="GP30" s="50">
        <v>12.602016002016001</v>
      </c>
      <c r="GQ30" s="50">
        <v>12.574356066523199</v>
      </c>
      <c r="GR30" s="50">
        <v>12.168399768241599</v>
      </c>
      <c r="GS30" s="50">
        <v>10.5008659773469</v>
      </c>
      <c r="GT30" s="50">
        <v>10.5044084799126</v>
      </c>
      <c r="GU30" s="50">
        <v>10.5140543305157</v>
      </c>
      <c r="GV30" s="50">
        <v>10.292403262989801</v>
      </c>
      <c r="GW30" s="50">
        <v>11.169165787881401</v>
      </c>
      <c r="GX30" s="50">
        <v>11.7564537891394</v>
      </c>
      <c r="GY30" s="50">
        <v>11.7564537891394</v>
      </c>
      <c r="GZ30" s="50">
        <v>12.111474101229399</v>
      </c>
      <c r="HA30" s="50">
        <v>11.899535168327599</v>
      </c>
      <c r="HB30" s="50">
        <v>11.6988598043915</v>
      </c>
      <c r="HC30" s="50">
        <v>11.895365421059401</v>
      </c>
      <c r="HD30" s="50">
        <v>12.1427051487155</v>
      </c>
      <c r="HE30" s="50">
        <v>12.119347159932101</v>
      </c>
      <c r="HF30" s="50">
        <v>12.092398925145</v>
      </c>
      <c r="HG30" s="50">
        <v>12.1036870203238</v>
      </c>
      <c r="HH30" s="50">
        <v>11.466202106535199</v>
      </c>
      <c r="HI30" s="50">
        <v>11.1580469744186</v>
      </c>
      <c r="HJ30" s="50">
        <v>11.2116906977877</v>
      </c>
      <c r="HK30" s="50">
        <v>11.4227256453153</v>
      </c>
      <c r="HL30" s="50">
        <v>11.5699791658073</v>
      </c>
      <c r="HM30" s="50">
        <v>11.3277294646351</v>
      </c>
      <c r="HN30" s="50">
        <v>11.125746332466999</v>
      </c>
      <c r="HO30" s="50">
        <v>11.120023460539599</v>
      </c>
      <c r="HP30" s="50">
        <v>10.9769330558892</v>
      </c>
      <c r="HQ30" s="50">
        <v>10.8101422357253</v>
      </c>
      <c r="HR30" s="50">
        <v>10.641301742179699</v>
      </c>
      <c r="HS30" s="50">
        <v>10.3351587902481</v>
      </c>
      <c r="HT30" s="50">
        <v>10.468561926151301</v>
      </c>
      <c r="HU30" s="50">
        <v>10.0856584540198</v>
      </c>
      <c r="HV30" s="50">
        <v>10.0978358455255</v>
      </c>
      <c r="HW30" s="50">
        <v>10.1701237650596</v>
      </c>
      <c r="HX30" s="50">
        <v>10.0216941940479</v>
      </c>
      <c r="HY30" s="50">
        <v>10.174766932219599</v>
      </c>
      <c r="HZ30" s="50">
        <v>10.1993162643102</v>
      </c>
      <c r="IA30" s="50">
        <v>10.7044198441817</v>
      </c>
    </row>
    <row r="31" spans="1:451">
      <c r="A31" s="12" t="s">
        <v>259</v>
      </c>
      <c r="B31" s="33" t="s">
        <v>207</v>
      </c>
      <c r="C31" s="12" t="s">
        <v>259</v>
      </c>
      <c r="D31" s="53">
        <v>15.46</v>
      </c>
      <c r="E31" s="53">
        <v>16.98</v>
      </c>
      <c r="F31" s="53">
        <v>17.059999999999999</v>
      </c>
      <c r="G31" s="53">
        <v>15.67</v>
      </c>
      <c r="H31" s="53">
        <v>15.85</v>
      </c>
      <c r="I31" s="53">
        <v>17.28</v>
      </c>
      <c r="J31" s="53">
        <v>16.670000000000002</v>
      </c>
      <c r="K31" s="53">
        <v>18.079999999999998</v>
      </c>
      <c r="L31" s="53">
        <v>17.57</v>
      </c>
      <c r="M31" s="53">
        <v>17.309999999999999</v>
      </c>
      <c r="N31" s="53">
        <v>17.825813994887039</v>
      </c>
      <c r="O31" s="53">
        <v>17.434841326510217</v>
      </c>
      <c r="P31" s="53">
        <v>16.862449557883878</v>
      </c>
      <c r="Q31" s="53">
        <v>16.215656736048935</v>
      </c>
      <c r="R31" s="53">
        <v>16.362618529407566</v>
      </c>
      <c r="S31" s="53">
        <v>17.620480456246582</v>
      </c>
      <c r="T31" s="53">
        <v>16.99012433868025</v>
      </c>
      <c r="U31" s="53">
        <v>17.816656230947334</v>
      </c>
      <c r="V31" s="53">
        <v>17.637887546700487</v>
      </c>
      <c r="W31" s="53">
        <v>17.920717910870156</v>
      </c>
      <c r="X31" s="53">
        <v>18.539756799803651</v>
      </c>
      <c r="Y31" s="53">
        <v>18.600837179073729</v>
      </c>
      <c r="Z31" s="53">
        <v>18.652714084534441</v>
      </c>
      <c r="AA31" s="53">
        <v>18.068819378665054</v>
      </c>
      <c r="AB31" s="53">
        <v>17.840910806432131</v>
      </c>
      <c r="AC31" s="53">
        <v>18.309344413161309</v>
      </c>
      <c r="AD31" s="53">
        <v>17.77468693082858</v>
      </c>
      <c r="AE31" s="53">
        <v>18.579650724460894</v>
      </c>
      <c r="AF31" s="53">
        <v>18.853696421315149</v>
      </c>
      <c r="AG31" s="53">
        <v>19.28855004975733</v>
      </c>
      <c r="AH31" s="53">
        <v>18.897035501307478</v>
      </c>
      <c r="AI31" s="53">
        <v>18.970583955191735</v>
      </c>
      <c r="AJ31" s="53">
        <v>19.425777846927748</v>
      </c>
      <c r="AK31" s="53">
        <v>19.139710845608217</v>
      </c>
      <c r="AL31" s="53">
        <v>19.230510672831883</v>
      </c>
      <c r="AM31" s="53">
        <v>20.015635228200654</v>
      </c>
      <c r="AN31" s="53">
        <v>19.851791059104933</v>
      </c>
      <c r="AO31" s="53">
        <v>19.544160319217969</v>
      </c>
      <c r="AP31" s="53">
        <v>19.622760845242272</v>
      </c>
      <c r="AQ31" s="53">
        <v>19.534942913909898</v>
      </c>
      <c r="AR31" s="53">
        <v>19.652176979897376</v>
      </c>
      <c r="AS31" s="53">
        <v>19.77709441841856</v>
      </c>
      <c r="AT31" s="53">
        <v>20.005097288836804</v>
      </c>
      <c r="AU31" s="53">
        <v>19.715740475922821</v>
      </c>
      <c r="AV31" s="53">
        <v>19.919203505666331</v>
      </c>
      <c r="AW31" s="53">
        <v>20.065609525180633</v>
      </c>
      <c r="AX31" s="53">
        <v>19.912915936500529</v>
      </c>
      <c r="AY31" s="53">
        <v>19.854549098585363</v>
      </c>
      <c r="AZ31" s="53">
        <v>20.019496732668546</v>
      </c>
      <c r="BA31" s="53">
        <v>19.068070052323542</v>
      </c>
      <c r="BB31" s="53">
        <v>20.409399152532984</v>
      </c>
      <c r="BC31" s="53">
        <v>18.710397979935163</v>
      </c>
      <c r="BD31" s="53">
        <v>18.461086663422901</v>
      </c>
      <c r="BE31" s="53">
        <v>18.005463309527798</v>
      </c>
      <c r="BF31" s="53">
        <v>18.996018842067546</v>
      </c>
      <c r="BG31" s="53">
        <v>19.230201523106555</v>
      </c>
      <c r="BH31" s="53">
        <v>20.367207441799817</v>
      </c>
      <c r="BI31" s="53">
        <v>20.63596323017131</v>
      </c>
      <c r="BJ31" s="53">
        <v>20.343789371280774</v>
      </c>
      <c r="BK31" s="53">
        <v>21.828615595080933</v>
      </c>
      <c r="BL31" s="53">
        <v>21.12103532577067</v>
      </c>
      <c r="BM31" s="53">
        <v>22.232518120404713</v>
      </c>
      <c r="BN31" s="53">
        <v>20.796276951877264</v>
      </c>
      <c r="BO31" s="53">
        <v>20.637154514128071</v>
      </c>
      <c r="BP31" s="53">
        <v>20.315773538734842</v>
      </c>
      <c r="BQ31" s="53">
        <v>20.394986761137723</v>
      </c>
      <c r="BR31" s="53">
        <v>21.118041440206767</v>
      </c>
      <c r="BS31" s="53">
        <v>21.114106273840086</v>
      </c>
      <c r="BT31" s="53">
        <v>20.917653903543716</v>
      </c>
      <c r="BU31" s="53">
        <v>20.914270506594374</v>
      </c>
      <c r="BV31" s="53">
        <v>20.919254598806361</v>
      </c>
      <c r="BW31" s="53">
        <v>20.952342301393355</v>
      </c>
      <c r="BX31" s="53">
        <v>21.215047206134052</v>
      </c>
      <c r="BY31" s="53">
        <v>19.212447186231326</v>
      </c>
      <c r="BZ31" s="53">
        <v>19.04338288123693</v>
      </c>
      <c r="CA31" s="53">
        <v>19.191328941721071</v>
      </c>
      <c r="CB31" s="53">
        <v>19.258129177907193</v>
      </c>
      <c r="CC31" s="53">
        <v>19.308480341945558</v>
      </c>
      <c r="CD31" s="53">
        <v>19.04895280970257</v>
      </c>
      <c r="CE31" s="53">
        <v>19.167738936630432</v>
      </c>
      <c r="CF31" s="53">
        <v>18.81825934615474</v>
      </c>
      <c r="CG31" s="53">
        <v>18.721307392616442</v>
      </c>
      <c r="CH31" s="53">
        <v>18.590260211534357</v>
      </c>
      <c r="CI31" s="53">
        <v>18.743235222751586</v>
      </c>
      <c r="CJ31" s="53">
        <v>18.823360008240122</v>
      </c>
      <c r="CK31" s="53">
        <v>19.148586157507474</v>
      </c>
      <c r="CL31" s="53">
        <v>19.020767237636438</v>
      </c>
      <c r="CM31" s="53">
        <v>19.211701079790913</v>
      </c>
      <c r="CN31" s="53">
        <v>19.327168629528266</v>
      </c>
      <c r="CO31" s="53">
        <v>19.259675205705506</v>
      </c>
      <c r="CP31" s="53">
        <v>19.12046119635135</v>
      </c>
      <c r="CQ31" s="53">
        <v>18.964018183616979</v>
      </c>
      <c r="CR31" s="53">
        <v>19.120266665325168</v>
      </c>
      <c r="CS31" s="53">
        <v>18.781938763160518</v>
      </c>
      <c r="CT31" s="53">
        <v>18.809701197357576</v>
      </c>
      <c r="CU31" s="53">
        <v>18.299408853768128</v>
      </c>
      <c r="CV31" s="53">
        <v>18.625880850093488</v>
      </c>
      <c r="CW31" s="53">
        <v>18.877662561270089</v>
      </c>
      <c r="CX31" s="53">
        <v>18.896973714168638</v>
      </c>
      <c r="CY31" s="53">
        <v>18.255261767665733</v>
      </c>
      <c r="CZ31" s="53">
        <v>18.282571960065532</v>
      </c>
      <c r="DA31" s="53">
        <v>17.194054232326902</v>
      </c>
      <c r="DB31" s="53">
        <v>17.583860464482573</v>
      </c>
      <c r="DC31" s="53">
        <v>17.760718219814972</v>
      </c>
      <c r="DD31" s="53">
        <v>18.75610508588986</v>
      </c>
      <c r="DE31" s="53">
        <v>18.524902325530306</v>
      </c>
      <c r="DF31" s="53">
        <v>18.358589010189572</v>
      </c>
      <c r="DG31" s="53">
        <v>18.430103972405398</v>
      </c>
      <c r="DH31" s="53">
        <v>18.661051719929382</v>
      </c>
      <c r="DI31" s="53">
        <v>17.819155563075903</v>
      </c>
      <c r="DJ31" s="53">
        <v>18.386071459324246</v>
      </c>
      <c r="DK31" s="53">
        <v>18.940047469796319</v>
      </c>
      <c r="DL31" s="53">
        <v>18.125898529172623</v>
      </c>
      <c r="DM31" s="53">
        <v>17.642106929482754</v>
      </c>
      <c r="DN31" s="53">
        <v>16.953199111320142</v>
      </c>
      <c r="DO31" s="53">
        <v>17.110538973450364</v>
      </c>
      <c r="DP31" s="53">
        <v>18.669243182146332</v>
      </c>
      <c r="DQ31" s="53">
        <v>17.278670498613337</v>
      </c>
      <c r="DR31" s="53">
        <v>18.013629099457066</v>
      </c>
      <c r="DS31" s="53">
        <v>16.875628172185131</v>
      </c>
      <c r="DT31" s="53">
        <v>18.154813084364733</v>
      </c>
      <c r="DU31" s="53">
        <v>17.997493678941328</v>
      </c>
      <c r="DV31" s="53">
        <v>18.29</v>
      </c>
      <c r="DW31" s="53">
        <v>18.424180372689495</v>
      </c>
      <c r="DX31" s="53">
        <v>18.057496917264615</v>
      </c>
      <c r="DY31" s="53">
        <v>18.357691493108057</v>
      </c>
      <c r="DZ31" s="53">
        <v>18.536264225527812</v>
      </c>
      <c r="EA31" s="53">
        <v>18.682596989683496</v>
      </c>
      <c r="EB31" s="53">
        <v>18.60409399615061</v>
      </c>
      <c r="EC31" s="53">
        <v>17.062955537105381</v>
      </c>
      <c r="ED31" s="53">
        <v>17.040776897738407</v>
      </c>
      <c r="EE31" s="53">
        <v>12.698912559712948</v>
      </c>
      <c r="EF31" s="53">
        <v>17.048016333681211</v>
      </c>
      <c r="EG31" s="53">
        <v>17.607243623394751</v>
      </c>
      <c r="EH31" s="53">
        <v>17.338082292484433</v>
      </c>
      <c r="EI31" s="53">
        <v>16.556722295723638</v>
      </c>
      <c r="EJ31" s="53">
        <v>16.782294993135956</v>
      </c>
      <c r="EK31" s="53">
        <v>17.08332544275768</v>
      </c>
      <c r="EL31" s="53">
        <v>16.360906657019314</v>
      </c>
      <c r="EM31" s="53">
        <v>16.252720591094182</v>
      </c>
      <c r="EN31" s="53">
        <v>15.979702176778995</v>
      </c>
      <c r="EO31" s="53">
        <v>15.90552123678154</v>
      </c>
      <c r="EP31" s="53">
        <v>16.469428501983923</v>
      </c>
      <c r="EQ31" s="53">
        <v>15.710499106913648</v>
      </c>
      <c r="ER31" s="53">
        <v>15.598704237913761</v>
      </c>
      <c r="ES31" s="53">
        <v>15.740122909218083</v>
      </c>
      <c r="ET31" s="53">
        <v>15.601481762999647</v>
      </c>
      <c r="EU31" s="53">
        <v>16.45184994091051</v>
      </c>
      <c r="EV31" s="53">
        <v>15.718012429337488</v>
      </c>
      <c r="EW31" s="53">
        <v>15.616948674513553</v>
      </c>
      <c r="EX31" s="53">
        <v>15.911866008335608</v>
      </c>
      <c r="EY31" s="53">
        <v>15.818084407683752</v>
      </c>
      <c r="EZ31" s="53">
        <v>16.587219689191528</v>
      </c>
      <c r="FA31" s="53">
        <v>16.79647441706102</v>
      </c>
      <c r="FB31" s="53">
        <v>16.938166204062899</v>
      </c>
      <c r="FC31" s="53">
        <v>17.496585447971174</v>
      </c>
      <c r="FD31" s="53">
        <v>17.812851308823529</v>
      </c>
      <c r="FE31" s="53">
        <v>17.74589025213027</v>
      </c>
      <c r="FF31" s="53">
        <v>17.932840169515316</v>
      </c>
      <c r="FG31" s="53">
        <v>17.771387074101799</v>
      </c>
      <c r="FH31" s="53">
        <v>17.700016022769464</v>
      </c>
      <c r="FI31" s="53">
        <v>17.135472398349023</v>
      </c>
      <c r="FJ31" s="53">
        <v>17.057788909788364</v>
      </c>
      <c r="FK31" s="53">
        <v>17.366187109084006</v>
      </c>
      <c r="FL31" s="53">
        <v>17.440321209424486</v>
      </c>
      <c r="FM31" s="53">
        <v>17.604442908736875</v>
      </c>
      <c r="FN31" s="53">
        <v>17.700854031848383</v>
      </c>
      <c r="FO31" s="53">
        <v>17.654395134646016</v>
      </c>
      <c r="FP31" s="53">
        <v>17.249877570254483</v>
      </c>
      <c r="FQ31" s="53">
        <v>16.773463503963679</v>
      </c>
      <c r="FR31" s="53">
        <v>16.994582094314701</v>
      </c>
      <c r="FS31" s="53">
        <v>16.745634168964767</v>
      </c>
      <c r="FT31" s="53">
        <v>16.968635157208869</v>
      </c>
      <c r="FU31" s="53">
        <v>17.254788941124296</v>
      </c>
      <c r="FV31" s="46">
        <v>17.304258234952101</v>
      </c>
      <c r="FW31" s="46">
        <v>17.243697323255393</v>
      </c>
      <c r="FX31" s="46">
        <v>17.304153260683709</v>
      </c>
      <c r="FY31" s="46">
        <v>17.278693571855722</v>
      </c>
      <c r="FZ31" s="46">
        <v>17.598905479403165</v>
      </c>
      <c r="GA31" s="53">
        <v>17.582769478021806</v>
      </c>
      <c r="GB31" s="48">
        <v>17.568635334242305</v>
      </c>
      <c r="GC31" s="48">
        <v>17.541899800031718</v>
      </c>
      <c r="GD31" s="48">
        <v>17.706383191613803</v>
      </c>
      <c r="GE31" s="53">
        <v>17.695835633898547</v>
      </c>
      <c r="GF31" s="53">
        <v>17.251813054841431</v>
      </c>
      <c r="GG31" s="52">
        <v>17.049344292880672</v>
      </c>
      <c r="GH31" s="52">
        <v>17.183516451288899</v>
      </c>
      <c r="GI31" s="52">
        <v>17.198366303412701</v>
      </c>
      <c r="GJ31" s="52">
        <v>17.066838857466202</v>
      </c>
      <c r="GK31" s="52">
        <v>17.0932887877435</v>
      </c>
      <c r="GL31" s="52">
        <v>17.2024029224727</v>
      </c>
      <c r="GM31" s="50">
        <v>17.0557691730952</v>
      </c>
      <c r="GN31" s="50">
        <v>16.809529236800199</v>
      </c>
      <c r="GO31" s="50">
        <v>16.817424550022199</v>
      </c>
      <c r="GP31" s="50">
        <v>16.690964498935301</v>
      </c>
      <c r="GQ31" s="50">
        <v>16.391982256656402</v>
      </c>
      <c r="GR31" s="50">
        <v>16.3075194646702</v>
      </c>
      <c r="GS31" s="50">
        <v>16.361513715608599</v>
      </c>
      <c r="GT31" s="50">
        <v>16.3473353898016</v>
      </c>
      <c r="GU31" s="50">
        <v>16.5123165379262</v>
      </c>
      <c r="GV31" s="50">
        <v>16.394241792888401</v>
      </c>
      <c r="GW31" s="50">
        <v>16.552741065989</v>
      </c>
      <c r="GX31" s="50">
        <v>16.5413600888755</v>
      </c>
      <c r="GY31" s="50">
        <v>16.5413600888755</v>
      </c>
      <c r="GZ31" s="50">
        <v>16.320184403714201</v>
      </c>
      <c r="HA31" s="50">
        <v>16.3178626747168</v>
      </c>
      <c r="HB31" s="50">
        <v>16.373543851021601</v>
      </c>
      <c r="HC31" s="50">
        <v>16.2801536911184</v>
      </c>
      <c r="HD31" s="50">
        <v>16.101660739685801</v>
      </c>
      <c r="HE31" s="50">
        <v>16.0106442984073</v>
      </c>
      <c r="HF31" s="50">
        <v>15.255640616400999</v>
      </c>
      <c r="HG31" s="50">
        <v>15.466266561699101</v>
      </c>
      <c r="HH31" s="50">
        <v>14.656468988145001</v>
      </c>
      <c r="HI31" s="50">
        <v>14.2390404396044</v>
      </c>
      <c r="HJ31" s="50">
        <v>13.959503456288299</v>
      </c>
      <c r="HK31" s="50">
        <v>13.5104305190474</v>
      </c>
      <c r="HL31" s="50">
        <v>13.309047846585999</v>
      </c>
      <c r="HM31" s="50">
        <v>13.190902696454</v>
      </c>
      <c r="HN31" s="50">
        <v>13.097750114381601</v>
      </c>
      <c r="HO31" s="50">
        <v>13.069225980928399</v>
      </c>
      <c r="HP31" s="50">
        <v>13.138432404162</v>
      </c>
      <c r="HQ31" s="50">
        <v>13.3269124594611</v>
      </c>
      <c r="HR31" s="50">
        <v>13.5937027929276</v>
      </c>
      <c r="HS31" s="50">
        <v>13.7260888581726</v>
      </c>
      <c r="HT31" s="50">
        <v>13.770134353241099</v>
      </c>
      <c r="HU31" s="50">
        <v>14.3458891386319</v>
      </c>
      <c r="HV31" s="50">
        <v>14.425763238967001</v>
      </c>
      <c r="HW31" s="50">
        <v>14.477008409883</v>
      </c>
      <c r="HX31" s="50">
        <v>14.5910042672977</v>
      </c>
      <c r="HY31" s="50">
        <v>14.576669858465101</v>
      </c>
      <c r="HZ31" s="50">
        <v>14.537810282807399</v>
      </c>
      <c r="IA31" s="50">
        <v>14.6192923591904</v>
      </c>
    </row>
    <row r="32" spans="1:451">
      <c r="A32" s="12" t="s">
        <v>260</v>
      </c>
      <c r="B32" s="33" t="s">
        <v>208</v>
      </c>
      <c r="C32" s="12" t="s">
        <v>260</v>
      </c>
      <c r="D32" s="53">
        <v>13.17</v>
      </c>
      <c r="E32" s="53">
        <v>12.53</v>
      </c>
      <c r="F32" s="53">
        <v>14.04</v>
      </c>
      <c r="G32" s="53">
        <v>14.45</v>
      </c>
      <c r="H32" s="53">
        <v>14.97</v>
      </c>
      <c r="I32" s="53">
        <v>14.27</v>
      </c>
      <c r="J32" s="53">
        <v>14.05</v>
      </c>
      <c r="K32" s="53">
        <v>14.55</v>
      </c>
      <c r="L32" s="53">
        <v>14.28</v>
      </c>
      <c r="M32" s="53">
        <v>14.38</v>
      </c>
      <c r="N32" s="53">
        <v>14.470936675011711</v>
      </c>
      <c r="O32" s="53">
        <v>14.717086418695715</v>
      </c>
      <c r="P32" s="53">
        <v>14.788964803628181</v>
      </c>
      <c r="Q32" s="53">
        <v>14.290185030212877</v>
      </c>
      <c r="R32" s="53">
        <v>15.296283416866785</v>
      </c>
      <c r="S32" s="53">
        <v>15.480826545407524</v>
      </c>
      <c r="T32" s="53">
        <v>15.39132273204153</v>
      </c>
      <c r="U32" s="53">
        <v>15.699299386655813</v>
      </c>
      <c r="V32" s="53">
        <v>15.71967738956501</v>
      </c>
      <c r="W32" s="53">
        <v>15.88329490212722</v>
      </c>
      <c r="X32" s="53">
        <v>16.551559590270781</v>
      </c>
      <c r="Y32" s="53">
        <v>17.136992609435143</v>
      </c>
      <c r="Z32" s="53">
        <v>17.198369031810095</v>
      </c>
      <c r="AA32" s="53">
        <v>17.398070101175524</v>
      </c>
      <c r="AB32" s="53">
        <v>17.94289753609927</v>
      </c>
      <c r="AC32" s="53">
        <v>17.617437089869025</v>
      </c>
      <c r="AD32" s="53">
        <v>17.322820327114798</v>
      </c>
      <c r="AE32" s="53">
        <v>17.125955662919655</v>
      </c>
      <c r="AF32" s="53">
        <v>17.006648924590483</v>
      </c>
      <c r="AG32" s="53">
        <v>17.130788516199264</v>
      </c>
      <c r="AH32" s="53">
        <v>17.489999257668767</v>
      </c>
      <c r="AI32" s="53">
        <v>17.739237743396526</v>
      </c>
      <c r="AJ32" s="53">
        <v>18.182702799616717</v>
      </c>
      <c r="AK32" s="53">
        <v>18.479320464000377</v>
      </c>
      <c r="AL32" s="53">
        <v>18.797220365082918</v>
      </c>
      <c r="AM32" s="53">
        <v>17.933903312000403</v>
      </c>
      <c r="AN32" s="53">
        <v>18.740573356624935</v>
      </c>
      <c r="AO32" s="53">
        <v>18.523536298525414</v>
      </c>
      <c r="AP32" s="53">
        <v>18.641488355784197</v>
      </c>
      <c r="AQ32" s="53">
        <v>18.966660700538458</v>
      </c>
      <c r="AR32" s="53">
        <v>18.967956375510532</v>
      </c>
      <c r="AS32" s="53">
        <v>18.515659457171026</v>
      </c>
      <c r="AT32" s="53">
        <v>19.108358768606156</v>
      </c>
      <c r="AU32" s="53">
        <v>19.049988837715059</v>
      </c>
      <c r="AV32" s="53">
        <v>19.378058183648982</v>
      </c>
      <c r="AW32" s="53">
        <v>19.184630422315372</v>
      </c>
      <c r="AX32" s="53">
        <v>19.164477524321075</v>
      </c>
      <c r="AY32" s="53">
        <v>18.945297473983786</v>
      </c>
      <c r="AZ32" s="53">
        <v>19.157458299122208</v>
      </c>
      <c r="BA32" s="53">
        <v>18.536391923685315</v>
      </c>
      <c r="BB32" s="53">
        <v>20.310021786622226</v>
      </c>
      <c r="BC32" s="53">
        <v>18.212443247724526</v>
      </c>
      <c r="BD32" s="53">
        <v>18.755934948366257</v>
      </c>
      <c r="BE32" s="53">
        <v>16.741151988820103</v>
      </c>
      <c r="BF32" s="53">
        <v>18.134491236213336</v>
      </c>
      <c r="BG32" s="53">
        <v>18.16204491241297</v>
      </c>
      <c r="BH32" s="53">
        <v>15.054927982028779</v>
      </c>
      <c r="BI32" s="53">
        <v>14.173802971357125</v>
      </c>
      <c r="BJ32" s="53">
        <v>13.959736430392459</v>
      </c>
      <c r="BK32" s="53">
        <v>16.44533281019724</v>
      </c>
      <c r="BL32" s="53">
        <v>13.793541546303121</v>
      </c>
      <c r="BM32" s="53">
        <v>16.311938971662521</v>
      </c>
      <c r="BN32" s="53">
        <v>12.91632339532902</v>
      </c>
      <c r="BO32" s="53">
        <v>16.208392857222186</v>
      </c>
      <c r="BP32" s="53">
        <v>12.863490603620573</v>
      </c>
      <c r="BQ32" s="53">
        <v>13.258866640607888</v>
      </c>
      <c r="BR32" s="53">
        <v>16.122370334246757</v>
      </c>
      <c r="BS32" s="53">
        <v>16.154893079644506</v>
      </c>
      <c r="BT32" s="53">
        <v>16.074902603182906</v>
      </c>
      <c r="BU32" s="53">
        <v>16.08396895715714</v>
      </c>
      <c r="BV32" s="53">
        <v>13.185144560107904</v>
      </c>
      <c r="BW32" s="53">
        <v>13.206383356373296</v>
      </c>
      <c r="BX32" s="53">
        <v>12.49677752946406</v>
      </c>
      <c r="BY32" s="53">
        <v>17.957126800879156</v>
      </c>
      <c r="BZ32" s="53">
        <v>18.057508710758114</v>
      </c>
      <c r="CA32" s="53">
        <v>17.985314251527114</v>
      </c>
      <c r="CB32" s="53">
        <v>18.056727237430142</v>
      </c>
      <c r="CC32" s="53">
        <v>18.007817326843689</v>
      </c>
      <c r="CD32" s="53">
        <v>18.381402361879832</v>
      </c>
      <c r="CE32" s="53">
        <v>18.133750057501469</v>
      </c>
      <c r="CF32" s="53">
        <v>18.269551724369464</v>
      </c>
      <c r="CG32" s="53">
        <v>17.994206241504109</v>
      </c>
      <c r="CH32" s="53">
        <v>18.074885527685492</v>
      </c>
      <c r="CI32" s="53">
        <v>17.98863277681361</v>
      </c>
      <c r="CJ32" s="53">
        <v>17.907447672907679</v>
      </c>
      <c r="CK32" s="53">
        <v>17.923300231527797</v>
      </c>
      <c r="CL32" s="53">
        <v>17.838378372561671</v>
      </c>
      <c r="CM32" s="53">
        <v>17.861204935137913</v>
      </c>
      <c r="CN32" s="53">
        <v>17.782953100244026</v>
      </c>
      <c r="CO32" s="53">
        <v>17.785367088607593</v>
      </c>
      <c r="CP32" s="53">
        <v>17.725030419257841</v>
      </c>
      <c r="CQ32" s="53">
        <v>17.522870085077702</v>
      </c>
      <c r="CR32" s="53">
        <v>17.286295012534492</v>
      </c>
      <c r="CS32" s="53">
        <v>16.875962063672503</v>
      </c>
      <c r="CT32" s="53">
        <v>16.755299067237708</v>
      </c>
      <c r="CU32" s="53">
        <v>16.842809653389789</v>
      </c>
      <c r="CV32" s="53">
        <v>16.817851917784338</v>
      </c>
      <c r="CW32" s="53">
        <v>16.555011070932331</v>
      </c>
      <c r="CX32" s="53">
        <v>16.671208849951888</v>
      </c>
      <c r="CY32" s="53">
        <v>16.460382474352034</v>
      </c>
      <c r="CZ32" s="53">
        <v>16.233372413407889</v>
      </c>
      <c r="DA32" s="53">
        <v>15.121214718816514</v>
      </c>
      <c r="DB32" s="53">
        <v>15.542122378233897</v>
      </c>
      <c r="DC32" s="53">
        <v>15.561834562516095</v>
      </c>
      <c r="DD32" s="53">
        <v>15.544206369531668</v>
      </c>
      <c r="DE32" s="53">
        <v>15.43808190709928</v>
      </c>
      <c r="DF32" s="53">
        <v>15.240433526297656</v>
      </c>
      <c r="DG32" s="53">
        <v>15.469028881176534</v>
      </c>
      <c r="DH32" s="53">
        <v>15.540283521452965</v>
      </c>
      <c r="DI32" s="53">
        <v>15.454573820543908</v>
      </c>
      <c r="DJ32" s="53">
        <v>15.897135902354453</v>
      </c>
      <c r="DK32" s="53">
        <v>16.02606324844535</v>
      </c>
      <c r="DL32" s="53">
        <v>16.097693443996718</v>
      </c>
      <c r="DM32" s="53">
        <v>16.020574100963529</v>
      </c>
      <c r="DN32" s="53">
        <v>15.968533432457734</v>
      </c>
      <c r="DO32" s="53">
        <v>16.037652094595636</v>
      </c>
      <c r="DP32" s="53">
        <v>16.064663680580299</v>
      </c>
      <c r="DQ32" s="53">
        <v>16.289479955561536</v>
      </c>
      <c r="DR32" s="53">
        <v>16.279885130629314</v>
      </c>
      <c r="DS32" s="53">
        <v>16.319097879168243</v>
      </c>
      <c r="DT32" s="53">
        <v>16.014407864209286</v>
      </c>
      <c r="DU32" s="53">
        <v>15.940983115651457</v>
      </c>
      <c r="DV32" s="53">
        <v>15.89</v>
      </c>
      <c r="DW32" s="53">
        <v>16.380482581343664</v>
      </c>
      <c r="DX32" s="53">
        <v>16.325953509255839</v>
      </c>
      <c r="DY32" s="53">
        <v>16.945838805447973</v>
      </c>
      <c r="DZ32" s="53">
        <v>16.867354016265349</v>
      </c>
      <c r="EA32" s="53">
        <v>16.992803945669632</v>
      </c>
      <c r="EB32" s="53">
        <v>17.14952132960568</v>
      </c>
      <c r="EC32" s="53">
        <v>17.173493238372622</v>
      </c>
      <c r="ED32" s="53">
        <v>17.3592188742183</v>
      </c>
      <c r="EE32" s="53">
        <v>17.290007415716591</v>
      </c>
      <c r="EF32" s="53">
        <v>17.411211731882364</v>
      </c>
      <c r="EG32" s="53">
        <v>17.44831015480564</v>
      </c>
      <c r="EH32" s="53"/>
      <c r="EI32" s="53"/>
      <c r="EJ32" s="53">
        <v>16.478011746598668</v>
      </c>
      <c r="EK32" s="53">
        <v>16.325779381487909</v>
      </c>
      <c r="EL32" s="53">
        <v>15.730767646701297</v>
      </c>
      <c r="EM32" s="53">
        <v>16.249004653684814</v>
      </c>
      <c r="EN32" s="53">
        <v>16.691243721576228</v>
      </c>
      <c r="EO32" s="53">
        <v>16.602274812861168</v>
      </c>
      <c r="EP32" s="53">
        <v>16.594790325294039</v>
      </c>
      <c r="EQ32" s="53">
        <v>16.42547379469309</v>
      </c>
      <c r="ER32" s="53">
        <v>16.466176777056713</v>
      </c>
      <c r="ES32" s="53">
        <v>16.180972333304037</v>
      </c>
      <c r="ET32" s="53">
        <v>16.256461857263211</v>
      </c>
      <c r="EU32" s="53">
        <v>16.420884770443468</v>
      </c>
      <c r="EV32" s="53">
        <v>16.581854961509055</v>
      </c>
      <c r="EW32" s="53">
        <v>16.654197210424091</v>
      </c>
      <c r="EX32" s="53">
        <v>17.000156835118773</v>
      </c>
      <c r="EY32" s="53">
        <v>17.421520758680195</v>
      </c>
      <c r="EZ32" s="53">
        <v>18.871855273938042</v>
      </c>
      <c r="FA32" s="53">
        <v>19.143925179937931</v>
      </c>
      <c r="FB32" s="53">
        <v>19.220648715434123</v>
      </c>
      <c r="FC32" s="53">
        <v>19.397973591067917</v>
      </c>
      <c r="FD32" s="53">
        <v>19.436484657282051</v>
      </c>
      <c r="FE32" s="53">
        <v>19.49634663849308</v>
      </c>
      <c r="FF32" s="53">
        <v>19.517956458647046</v>
      </c>
      <c r="FG32" s="53">
        <v>19.889748316424971</v>
      </c>
      <c r="FH32" s="53">
        <v>19.695449041382812</v>
      </c>
      <c r="FI32" s="53">
        <v>19.65639493075625</v>
      </c>
      <c r="FJ32" s="53">
        <v>19.564623271220238</v>
      </c>
      <c r="FK32" s="53">
        <v>19.427636582276836</v>
      </c>
      <c r="FL32" s="53">
        <v>19.325196141973262</v>
      </c>
      <c r="FM32" s="53">
        <v>19.35288100982542</v>
      </c>
      <c r="FN32" s="53">
        <v>20.427800677725454</v>
      </c>
      <c r="FO32" s="53">
        <v>20.399393895899735</v>
      </c>
      <c r="FP32" s="53">
        <v>20.411855777424911</v>
      </c>
      <c r="FQ32" s="53">
        <v>20.031995404097039</v>
      </c>
      <c r="FR32" s="53">
        <v>20.197903816406377</v>
      </c>
      <c r="FS32" s="53">
        <v>19.743492389441634</v>
      </c>
      <c r="FT32" s="53">
        <v>19.209031147713851</v>
      </c>
      <c r="FU32" s="53">
        <v>19.273239944359492</v>
      </c>
      <c r="FV32" s="53">
        <v>18.88178053254995</v>
      </c>
      <c r="FW32" s="46">
        <v>18.886018325181595</v>
      </c>
      <c r="FX32" s="46">
        <v>18.84038747376588</v>
      </c>
      <c r="FY32" s="46">
        <v>19.02668605099646</v>
      </c>
      <c r="FZ32" s="46">
        <v>18.861181001290795</v>
      </c>
      <c r="GA32" s="46">
        <v>18.749996458254973</v>
      </c>
      <c r="GB32" s="48">
        <v>18.50479113364775</v>
      </c>
      <c r="GC32" s="48">
        <v>17.951848050593316</v>
      </c>
      <c r="GD32" s="48">
        <v>17.869657200061354</v>
      </c>
      <c r="GE32" s="53">
        <v>17.65494676656861</v>
      </c>
      <c r="GF32" s="53">
        <v>17.28264707062641</v>
      </c>
      <c r="GG32" s="52">
        <v>16.510944598700423</v>
      </c>
      <c r="GH32" s="52">
        <v>16.430698126139202</v>
      </c>
      <c r="GI32" s="52">
        <v>16.386442006034098</v>
      </c>
      <c r="GJ32" s="52">
        <v>16.314293749578301</v>
      </c>
      <c r="GK32" s="52">
        <v>16.297355556913601</v>
      </c>
      <c r="GL32" s="52">
        <v>16.175574345186501</v>
      </c>
      <c r="GM32" s="50">
        <v>16.047006548637999</v>
      </c>
      <c r="GN32" s="50">
        <v>16.587426237853698</v>
      </c>
      <c r="GO32" s="50">
        <v>16.8136537115519</v>
      </c>
      <c r="GP32" s="50">
        <v>16.767847516273299</v>
      </c>
      <c r="GQ32" s="50">
        <v>16.8332686926022</v>
      </c>
      <c r="GR32" s="50">
        <v>17.0638939546348</v>
      </c>
      <c r="GS32" s="50">
        <v>17.0816274635092</v>
      </c>
      <c r="GT32" s="50">
        <v>17.085691657673198</v>
      </c>
      <c r="GU32" s="50">
        <v>16.980340061716099</v>
      </c>
      <c r="GV32" s="50">
        <v>17.119681514415198</v>
      </c>
      <c r="GW32" s="50">
        <v>17.180113607027899</v>
      </c>
      <c r="GX32" s="50">
        <v>17.1792027533292</v>
      </c>
      <c r="GY32" s="50">
        <v>17.1792027533292</v>
      </c>
      <c r="GZ32" s="50">
        <v>17.248138027624901</v>
      </c>
      <c r="HA32" s="50">
        <v>17.079585715782301</v>
      </c>
      <c r="HB32" s="50">
        <v>17.0676744899664</v>
      </c>
      <c r="HC32" s="50">
        <v>17.0558390123173</v>
      </c>
      <c r="HD32" s="50">
        <v>16.964600482896302</v>
      </c>
      <c r="HE32" s="50">
        <v>16.9109851269085</v>
      </c>
      <c r="HF32" s="50">
        <v>16.965384314312601</v>
      </c>
      <c r="HG32" s="50">
        <v>16.873585755836899</v>
      </c>
      <c r="HH32" s="50">
        <v>17.1878131235596</v>
      </c>
      <c r="HI32" s="50">
        <v>17.2358318521473</v>
      </c>
      <c r="HJ32" s="50">
        <v>17.242584007504998</v>
      </c>
      <c r="HK32" s="50">
        <v>17.066827212385999</v>
      </c>
      <c r="HL32" s="50">
        <v>17.037959592882299</v>
      </c>
      <c r="HM32" s="50">
        <v>16.9561516947232</v>
      </c>
      <c r="HN32" s="50">
        <v>16.9465670978019</v>
      </c>
      <c r="HO32" s="50">
        <v>16.9293706740924</v>
      </c>
      <c r="HP32" s="50">
        <v>16.9610453270381</v>
      </c>
      <c r="HQ32" s="50">
        <v>16.9783480927412</v>
      </c>
      <c r="HR32" s="50">
        <v>16.9077029542117</v>
      </c>
      <c r="HS32" s="50">
        <v>16.859954699691201</v>
      </c>
      <c r="HT32" s="50">
        <v>16.777097184979699</v>
      </c>
      <c r="HU32" s="50">
        <v>16.5646258863589</v>
      </c>
      <c r="HV32" s="50">
        <v>16.4689895010304</v>
      </c>
      <c r="HW32" s="50">
        <v>16.3426983864567</v>
      </c>
      <c r="HX32" s="50">
        <v>16.286243969972499</v>
      </c>
      <c r="HY32" s="50">
        <v>16.3025370311267</v>
      </c>
      <c r="HZ32" s="50">
        <v>16.390100780719798</v>
      </c>
      <c r="IA32" s="50">
        <v>16.371361576740899</v>
      </c>
    </row>
    <row r="33" spans="1:235">
      <c r="A33" s="12" t="s">
        <v>261</v>
      </c>
      <c r="B33" s="33" t="s">
        <v>210</v>
      </c>
      <c r="C33" s="12" t="s">
        <v>261</v>
      </c>
      <c r="D33" s="53">
        <v>7.81</v>
      </c>
      <c r="E33" s="53">
        <v>8.32</v>
      </c>
      <c r="F33" s="53">
        <v>7.76</v>
      </c>
      <c r="G33" s="53">
        <v>7.53</v>
      </c>
      <c r="H33" s="53">
        <v>7.66</v>
      </c>
      <c r="I33" s="53">
        <v>8.09</v>
      </c>
      <c r="J33" s="53">
        <v>7.99</v>
      </c>
      <c r="K33" s="53">
        <v>8.07</v>
      </c>
      <c r="L33" s="53">
        <v>8.08</v>
      </c>
      <c r="M33" s="53">
        <v>7.92</v>
      </c>
      <c r="N33" s="53">
        <v>8.1169969857962325</v>
      </c>
      <c r="O33" s="53">
        <v>8.1160818961946273</v>
      </c>
      <c r="P33" s="53">
        <v>8.1490781856731225</v>
      </c>
      <c r="Q33" s="53">
        <v>8.4156761216068858</v>
      </c>
      <c r="R33" s="53">
        <v>8.6713869630176781</v>
      </c>
      <c r="S33" s="53">
        <v>8.6687657437974934</v>
      </c>
      <c r="T33" s="53">
        <v>8.8755754953537558</v>
      </c>
      <c r="U33" s="53">
        <v>8.2952068586052441</v>
      </c>
      <c r="V33" s="53">
        <v>8.3912450116597874</v>
      </c>
      <c r="W33" s="53">
        <v>8.1401921860465123</v>
      </c>
      <c r="X33" s="53">
        <v>7.9636365106087617</v>
      </c>
      <c r="Y33" s="53">
        <v>8.2242964363636588</v>
      </c>
      <c r="Z33" s="53">
        <v>8.3183032564978809</v>
      </c>
      <c r="AA33" s="53">
        <v>9.2049152013398707</v>
      </c>
      <c r="AB33" s="53">
        <v>8.9182998160593527</v>
      </c>
      <c r="AC33" s="53">
        <v>9.6073166164199328</v>
      </c>
      <c r="AD33" s="53">
        <v>9.5234454360004399</v>
      </c>
      <c r="AE33" s="53">
        <v>9.1877589725265842</v>
      </c>
      <c r="AF33" s="53">
        <v>8.7841631149790107</v>
      </c>
      <c r="AG33" s="53">
        <v>9.6250494017274146</v>
      </c>
      <c r="AH33" s="53">
        <v>10.354383022189483</v>
      </c>
      <c r="AI33" s="53">
        <v>10.821069148113882</v>
      </c>
      <c r="AJ33" s="53">
        <v>10.771933916343091</v>
      </c>
      <c r="AK33" s="53">
        <v>10.752410354033101</v>
      </c>
      <c r="AL33" s="53">
        <v>10.630445887473639</v>
      </c>
      <c r="AM33" s="53">
        <v>10.268064440536724</v>
      </c>
      <c r="AN33" s="53">
        <v>10.67913610045033</v>
      </c>
      <c r="AO33" s="53">
        <v>10.42689160827643</v>
      </c>
      <c r="AP33" s="53">
        <v>10.377081769992172</v>
      </c>
      <c r="AQ33" s="53">
        <v>11.074232752285157</v>
      </c>
      <c r="AR33" s="53">
        <v>11.69464768134403</v>
      </c>
      <c r="AS33" s="53">
        <v>11.63944316989147</v>
      </c>
      <c r="AT33" s="53">
        <v>11.79364096255283</v>
      </c>
      <c r="AU33" s="53">
        <v>11.96956109165637</v>
      </c>
      <c r="AV33" s="53">
        <v>12.393119690404392</v>
      </c>
      <c r="AW33" s="53">
        <v>12.446837770842299</v>
      </c>
      <c r="AX33" s="53">
        <v>12.56185414148797</v>
      </c>
      <c r="AY33" s="53">
        <v>12.314560286741767</v>
      </c>
      <c r="AZ33" s="53">
        <v>11.903491773551824</v>
      </c>
      <c r="BA33" s="53">
        <v>11.997713482549168</v>
      </c>
      <c r="BB33" s="53">
        <v>13.059799773975657</v>
      </c>
      <c r="BC33" s="53">
        <v>12.623726074339437</v>
      </c>
      <c r="BD33" s="53">
        <v>12.304071172216958</v>
      </c>
      <c r="BE33" s="53">
        <v>12.12032999755565</v>
      </c>
      <c r="BF33" s="53">
        <v>12.351205746548592</v>
      </c>
      <c r="BG33" s="53">
        <v>11.964024870682147</v>
      </c>
      <c r="BH33" s="53">
        <v>11.793331913306822</v>
      </c>
      <c r="BI33" s="53">
        <v>11.732677771600988</v>
      </c>
      <c r="BJ33" s="53">
        <v>11.543799520160263</v>
      </c>
      <c r="BK33" s="53">
        <v>11.741408063702028</v>
      </c>
      <c r="BL33" s="53">
        <v>12.124037553378439</v>
      </c>
      <c r="BM33" s="53">
        <v>11.61298776487048</v>
      </c>
      <c r="BN33" s="53">
        <v>11.761905885261157</v>
      </c>
      <c r="BO33" s="53">
        <v>11.451325919445505</v>
      </c>
      <c r="BP33" s="53">
        <v>11.559561831133127</v>
      </c>
      <c r="BQ33" s="53">
        <v>12.275431216476939</v>
      </c>
      <c r="BR33" s="53">
        <v>12.166355665943755</v>
      </c>
      <c r="BS33" s="53">
        <v>12.092940400367716</v>
      </c>
      <c r="BT33" s="53">
        <v>11.779411791397639</v>
      </c>
      <c r="BU33" s="53">
        <v>11.69571726534234</v>
      </c>
      <c r="BV33" s="53">
        <v>11.872913923325729</v>
      </c>
      <c r="BW33" s="53">
        <v>11.884333147127466</v>
      </c>
      <c r="BX33" s="53">
        <v>12.207713581465237</v>
      </c>
      <c r="BY33" s="53">
        <v>12.709431095131924</v>
      </c>
      <c r="BZ33" s="53">
        <v>12.851093048891151</v>
      </c>
      <c r="CA33" s="53">
        <v>12.868019064328927</v>
      </c>
      <c r="CB33" s="53">
        <v>12.681805581244276</v>
      </c>
      <c r="CC33" s="53">
        <v>13.239765368874668</v>
      </c>
      <c r="CD33" s="53">
        <v>12.805813902395164</v>
      </c>
      <c r="CE33" s="53">
        <v>12.522147928572288</v>
      </c>
      <c r="CF33" s="53">
        <v>12.735224327399811</v>
      </c>
      <c r="CG33" s="53">
        <v>12.584105730956804</v>
      </c>
      <c r="CH33" s="53">
        <v>12.702073636530596</v>
      </c>
      <c r="CI33" s="53">
        <v>12.541034420631295</v>
      </c>
      <c r="CJ33" s="53">
        <v>12.634770822247789</v>
      </c>
      <c r="CK33" s="53">
        <v>12.619614473962345</v>
      </c>
      <c r="CL33" s="53">
        <v>12.668188398211687</v>
      </c>
      <c r="CM33" s="53">
        <v>12.408336809367741</v>
      </c>
      <c r="CN33" s="53">
        <v>12.397361238671067</v>
      </c>
      <c r="CO33" s="53">
        <v>12.349066341150083</v>
      </c>
      <c r="CP33" s="53">
        <v>12.321024926520154</v>
      </c>
      <c r="CQ33" s="53">
        <v>11.95388411990152</v>
      </c>
      <c r="CR33" s="53">
        <v>12.114115237173534</v>
      </c>
      <c r="CS33" s="53">
        <v>12.191593348708494</v>
      </c>
      <c r="CT33" s="53">
        <v>12.073831585255659</v>
      </c>
      <c r="CU33" s="53">
        <v>12.211045633904721</v>
      </c>
      <c r="CV33" s="53">
        <v>11.912258696510593</v>
      </c>
      <c r="CW33" s="53">
        <v>12.225718994892567</v>
      </c>
      <c r="CX33" s="53">
        <v>12.564082583635026</v>
      </c>
      <c r="CY33" s="53">
        <v>12.399720920721341</v>
      </c>
      <c r="CZ33" s="53">
        <v>12.238232027939077</v>
      </c>
      <c r="DA33" s="53">
        <v>12.083209853466387</v>
      </c>
      <c r="DB33" s="53">
        <v>12.017093728391989</v>
      </c>
      <c r="DC33" s="53">
        <v>11.974435100553285</v>
      </c>
      <c r="DD33" s="53">
        <v>12.033703849600455</v>
      </c>
      <c r="DE33" s="53">
        <v>12.237668695358296</v>
      </c>
      <c r="DF33" s="53">
        <v>12.394284391921273</v>
      </c>
      <c r="DG33" s="53">
        <v>12.458727430814365</v>
      </c>
      <c r="DH33" s="53">
        <v>12.560955390654597</v>
      </c>
      <c r="DI33" s="53">
        <v>12.367393115282376</v>
      </c>
      <c r="DJ33" s="53">
        <v>12.11566296719325</v>
      </c>
      <c r="DK33" s="53">
        <v>12.35141314047751</v>
      </c>
      <c r="DL33" s="53">
        <v>12.994782293814131</v>
      </c>
      <c r="DM33" s="53">
        <v>12.230141880774628</v>
      </c>
      <c r="DN33" s="53">
        <v>12.360742351889485</v>
      </c>
      <c r="DO33" s="53">
        <v>12.329702359625923</v>
      </c>
      <c r="DP33" s="53">
        <v>12.494907271859075</v>
      </c>
      <c r="DQ33" s="53">
        <v>12.583477108010065</v>
      </c>
      <c r="DR33" s="53">
        <v>12.59247959812746</v>
      </c>
      <c r="DS33" s="53">
        <v>12.442763463475883</v>
      </c>
      <c r="DT33" s="53">
        <v>11.404938876991489</v>
      </c>
      <c r="DU33" s="53">
        <v>11.383499995430888</v>
      </c>
      <c r="DV33" s="53">
        <v>11.09</v>
      </c>
      <c r="DW33" s="53">
        <v>11.67216057091859</v>
      </c>
      <c r="DX33" s="53">
        <v>11.580613385857852</v>
      </c>
      <c r="DY33" s="53">
        <v>11.742328245455703</v>
      </c>
      <c r="DZ33" s="53">
        <v>11.732819316988138</v>
      </c>
      <c r="EA33" s="53">
        <v>11.287514216210477</v>
      </c>
      <c r="EB33" s="53">
        <v>11.251080886727605</v>
      </c>
      <c r="EC33" s="53">
        <v>11.186995189225648</v>
      </c>
      <c r="ED33" s="53">
        <v>11.506089192084692</v>
      </c>
      <c r="EE33" s="53">
        <v>11.466179073283792</v>
      </c>
      <c r="EF33" s="53">
        <v>11.525194431274601</v>
      </c>
      <c r="EG33" s="53">
        <v>11.541479933957046</v>
      </c>
      <c r="EH33" s="53"/>
      <c r="EI33" s="53"/>
      <c r="EJ33" s="53">
        <v>11.019015764215258</v>
      </c>
      <c r="EK33" s="53">
        <v>10.988139141153068</v>
      </c>
      <c r="EL33" s="53">
        <v>10.808585990676367</v>
      </c>
      <c r="EM33" s="53">
        <v>10.834342060225408</v>
      </c>
      <c r="EN33" s="53">
        <v>11.29492671075676</v>
      </c>
      <c r="EO33" s="53">
        <v>11.697775366017643</v>
      </c>
      <c r="EP33" s="53">
        <v>11.802201581741427</v>
      </c>
      <c r="EQ33" s="53">
        <v>11.759293517999915</v>
      </c>
      <c r="ER33" s="53">
        <v>11.651393353857348</v>
      </c>
      <c r="ES33" s="53">
        <v>11.533134259049598</v>
      </c>
      <c r="ET33" s="53">
        <v>11.86665796786381</v>
      </c>
      <c r="EU33" s="53">
        <v>12.077234054841304</v>
      </c>
      <c r="EV33" s="53">
        <v>11.796237583114436</v>
      </c>
      <c r="EW33" s="53">
        <v>11.859589060116736</v>
      </c>
      <c r="EX33" s="53">
        <v>11.976821342128567</v>
      </c>
      <c r="EY33" s="53">
        <v>12.14045533065433</v>
      </c>
      <c r="EZ33" s="53">
        <v>13.422951582021774</v>
      </c>
      <c r="FA33" s="53">
        <v>13.234375894127867</v>
      </c>
      <c r="FB33" s="53">
        <v>13.287084254525613</v>
      </c>
      <c r="FC33" s="53">
        <v>13.43921045708143</v>
      </c>
      <c r="FD33" s="53">
        <v>14.003475775949012</v>
      </c>
      <c r="FE33" s="53">
        <v>14.305643055584685</v>
      </c>
      <c r="FF33" s="53">
        <v>14.571458228481285</v>
      </c>
      <c r="FG33" s="53">
        <v>14.982511848531141</v>
      </c>
      <c r="FH33" s="53">
        <v>15.313900588631746</v>
      </c>
      <c r="FI33" s="53">
        <v>15.955678971846117</v>
      </c>
      <c r="FJ33" s="53">
        <v>16.347497637759808</v>
      </c>
      <c r="FK33" s="53">
        <v>16.385725449030364</v>
      </c>
      <c r="FL33" s="53">
        <v>16.916078947179724</v>
      </c>
      <c r="FM33" s="53">
        <v>17.200898065141441</v>
      </c>
      <c r="FN33" s="53">
        <v>17.343584255925336</v>
      </c>
      <c r="FO33" s="53">
        <v>17.521447714981541</v>
      </c>
      <c r="FP33" s="53">
        <v>17.700117094340669</v>
      </c>
      <c r="FQ33" s="53">
        <v>17.818254729573493</v>
      </c>
      <c r="FR33" s="53">
        <v>17.851443115203779</v>
      </c>
      <c r="FS33" s="53">
        <v>18.407939740618225</v>
      </c>
      <c r="FT33" s="53">
        <v>18.393701416315448</v>
      </c>
      <c r="FU33" s="53">
        <v>18.426547828348887</v>
      </c>
      <c r="FV33" s="53">
        <v>18.538381538296463</v>
      </c>
      <c r="FW33" s="53">
        <v>18.40388537671339</v>
      </c>
      <c r="FX33" s="53">
        <v>17.908495738303913</v>
      </c>
      <c r="FY33" s="46">
        <v>17.835201300605526</v>
      </c>
      <c r="FZ33" s="46">
        <v>17.659634072004138</v>
      </c>
      <c r="GA33" s="46">
        <v>17.58745585784856</v>
      </c>
      <c r="GB33" s="47">
        <v>17.328380426458196</v>
      </c>
      <c r="GC33" s="48">
        <v>17.174601997598284</v>
      </c>
      <c r="GD33" s="48">
        <v>17.174424614638994</v>
      </c>
      <c r="GE33" s="53">
        <v>17.202327081222119</v>
      </c>
      <c r="GF33" s="53">
        <v>17.281311416784703</v>
      </c>
      <c r="GG33" s="52">
        <v>17.607852911525086</v>
      </c>
      <c r="GH33" s="52">
        <v>17.848699074169499</v>
      </c>
      <c r="GI33" s="52">
        <v>17.971973804926701</v>
      </c>
      <c r="GJ33" s="52">
        <v>17.968549458291101</v>
      </c>
      <c r="GK33" s="52">
        <v>18.0169277480285</v>
      </c>
      <c r="GL33" s="52">
        <v>18.004515254862302</v>
      </c>
      <c r="GM33" s="50">
        <v>17.9093490120665</v>
      </c>
      <c r="GN33" s="50">
        <v>17.833157707660199</v>
      </c>
      <c r="GO33" s="50">
        <v>17.743095267224799</v>
      </c>
      <c r="GP33" s="50">
        <v>17.783788191971698</v>
      </c>
      <c r="GQ33" s="50">
        <v>17.929738140687601</v>
      </c>
      <c r="GR33" s="50">
        <v>17.883725488489201</v>
      </c>
      <c r="GS33" s="50">
        <v>17.8792472082906</v>
      </c>
      <c r="GT33" s="50">
        <v>17.959685453402901</v>
      </c>
      <c r="GU33" s="50">
        <v>17.980632926463301</v>
      </c>
      <c r="GV33" s="50">
        <v>18.074427772739</v>
      </c>
      <c r="GW33" s="50">
        <v>18.149625020210401</v>
      </c>
      <c r="GX33" s="50">
        <v>18.144154452989898</v>
      </c>
      <c r="GY33" s="50">
        <v>18.144154452989898</v>
      </c>
      <c r="GZ33" s="50">
        <v>18.105180151192702</v>
      </c>
      <c r="HA33" s="50">
        <v>18.168077016839799</v>
      </c>
      <c r="HB33" s="50">
        <v>18.102780757107102</v>
      </c>
      <c r="HC33" s="50">
        <v>18.122632728630101</v>
      </c>
      <c r="HD33" s="50">
        <v>17.9750157358622</v>
      </c>
      <c r="HE33" s="50">
        <v>17.9240665119166</v>
      </c>
      <c r="HF33" s="50">
        <v>17.852582379402499</v>
      </c>
      <c r="HG33" s="50">
        <v>17.828976991383399</v>
      </c>
      <c r="HH33" s="50">
        <v>17.826319929552799</v>
      </c>
      <c r="HI33" s="50">
        <v>17.793699724202501</v>
      </c>
      <c r="HJ33" s="50">
        <v>17.823125973778399</v>
      </c>
      <c r="HK33" s="50">
        <v>17.818708001184401</v>
      </c>
      <c r="HL33" s="50">
        <v>17.774823136395799</v>
      </c>
      <c r="HM33" s="50">
        <v>17.665419174112898</v>
      </c>
      <c r="HN33" s="50">
        <v>17.5872464707547</v>
      </c>
      <c r="HO33" s="50">
        <v>17.616197536314399</v>
      </c>
      <c r="HP33" s="50">
        <v>17.6411694739901</v>
      </c>
      <c r="HQ33" s="50">
        <v>17.6115826999694</v>
      </c>
      <c r="HR33" s="50">
        <v>17.602359809918301</v>
      </c>
      <c r="HS33" s="50">
        <v>17.683546044480199</v>
      </c>
      <c r="HT33" s="50">
        <v>17.6368317326823</v>
      </c>
      <c r="HU33" s="50">
        <v>17.618840206443</v>
      </c>
      <c r="HV33" s="50">
        <v>17.6494230968446</v>
      </c>
      <c r="HW33" s="50">
        <v>17.648398101731701</v>
      </c>
      <c r="HX33" s="50">
        <v>17.722378405821399</v>
      </c>
      <c r="HY33" s="50">
        <v>17.730529335132001</v>
      </c>
      <c r="HZ33" s="50">
        <v>17.655625245124501</v>
      </c>
      <c r="IA33" s="50">
        <v>17.7315852608792</v>
      </c>
    </row>
    <row r="34" spans="1:235">
      <c r="A34" s="12" t="s">
        <v>262</v>
      </c>
      <c r="B34" s="33" t="s">
        <v>211</v>
      </c>
      <c r="C34" s="12" t="s">
        <v>262</v>
      </c>
      <c r="D34" s="53">
        <v>25</v>
      </c>
      <c r="E34" s="53">
        <v>25</v>
      </c>
      <c r="F34" s="53">
        <v>25</v>
      </c>
      <c r="G34" s="53">
        <v>25</v>
      </c>
      <c r="H34" s="53">
        <v>25</v>
      </c>
      <c r="I34" s="53">
        <v>13.9</v>
      </c>
      <c r="J34" s="53">
        <v>13.88</v>
      </c>
      <c r="K34" s="53">
        <v>13.59</v>
      </c>
      <c r="L34" s="53">
        <v>13.57</v>
      </c>
      <c r="M34" s="53">
        <v>11.88</v>
      </c>
      <c r="N34" s="53">
        <v>10.851742955045262</v>
      </c>
      <c r="O34" s="53">
        <v>9.2887192038260302</v>
      </c>
      <c r="P34" s="53">
        <v>9.0695018404353824</v>
      </c>
      <c r="Q34" s="53">
        <v>9.2942057344918929</v>
      </c>
      <c r="R34" s="53">
        <v>9.8730119552641735</v>
      </c>
      <c r="S34" s="53">
        <v>9.4314004305002932</v>
      </c>
      <c r="T34" s="53">
        <v>9.5884737389495562</v>
      </c>
      <c r="U34" s="53">
        <v>8.9668765895298783</v>
      </c>
      <c r="V34" s="53">
        <v>7.3218415618862158</v>
      </c>
      <c r="W34" s="53">
        <v>8.2725441342181032</v>
      </c>
      <c r="X34" s="53">
        <v>7.8387961969770839</v>
      </c>
      <c r="Y34" s="53">
        <v>7.6818703395207031</v>
      </c>
      <c r="Z34" s="53">
        <v>7.1774869942561139</v>
      </c>
      <c r="AA34" s="53">
        <v>7.4530829293960128</v>
      </c>
      <c r="AB34" s="53">
        <v>7.2278120689016454</v>
      </c>
      <c r="AC34" s="53">
        <v>7.2361382083307646</v>
      </c>
      <c r="AD34" s="53">
        <v>7.2605596274974005</v>
      </c>
      <c r="AE34" s="53">
        <v>7.2406476951495726</v>
      </c>
      <c r="AF34" s="53">
        <v>7.2577645263687467</v>
      </c>
      <c r="AG34" s="53">
        <v>7.266384793530194</v>
      </c>
      <c r="AH34" s="53">
        <v>7.0171398339881819</v>
      </c>
      <c r="AI34" s="53">
        <v>7.2264061800835062</v>
      </c>
      <c r="AJ34" s="53">
        <v>7.793422479169652</v>
      </c>
      <c r="AK34" s="53">
        <v>7.9446614968515208</v>
      </c>
      <c r="AL34" s="53">
        <v>8.1873929565001315</v>
      </c>
      <c r="AM34" s="53">
        <v>7.98251267432435</v>
      </c>
      <c r="AN34" s="53">
        <v>10.327028798697917</v>
      </c>
      <c r="AO34" s="53">
        <v>10.964300454738712</v>
      </c>
      <c r="AP34" s="53">
        <v>11.168244863880753</v>
      </c>
      <c r="AQ34" s="53">
        <v>10.693938862859063</v>
      </c>
      <c r="AR34" s="53">
        <v>11.012335822980827</v>
      </c>
      <c r="AS34" s="53">
        <v>8.715277453266328</v>
      </c>
      <c r="AT34" s="53">
        <v>11.417819217514394</v>
      </c>
      <c r="AU34" s="53">
        <v>11.41389486464263</v>
      </c>
      <c r="AV34" s="53">
        <v>11.687644453004623</v>
      </c>
      <c r="AW34" s="53">
        <v>12.494928130509265</v>
      </c>
      <c r="AX34" s="53">
        <v>12.977259741359861</v>
      </c>
      <c r="AY34" s="53">
        <v>12.042481378786299</v>
      </c>
      <c r="AZ34" s="53">
        <v>12.086292674583595</v>
      </c>
      <c r="BA34" s="53">
        <v>11.711290655592324</v>
      </c>
      <c r="BB34" s="53">
        <v>10.791742129741699</v>
      </c>
      <c r="BC34" s="53">
        <v>12.024717301230154</v>
      </c>
      <c r="BD34" s="53">
        <v>12.127393063389002</v>
      </c>
      <c r="BE34" s="53">
        <v>12.254558410529413</v>
      </c>
      <c r="BF34" s="53">
        <v>12.29651863864097</v>
      </c>
      <c r="BG34" s="53">
        <v>12.912471917502307</v>
      </c>
      <c r="BH34" s="53">
        <v>12.857468672654221</v>
      </c>
      <c r="BI34" s="53">
        <v>12.663843175275884</v>
      </c>
      <c r="BJ34" s="53">
        <v>12.96295002153774</v>
      </c>
      <c r="BK34" s="53">
        <v>12.869951453627818</v>
      </c>
      <c r="BL34" s="53">
        <v>13.052234843765378</v>
      </c>
      <c r="BM34" s="53">
        <v>12.740227912466079</v>
      </c>
      <c r="BN34" s="53">
        <v>12.719623132827882</v>
      </c>
      <c r="BO34" s="53">
        <v>12.158477590739233</v>
      </c>
      <c r="BP34" s="53">
        <v>11.820001952380677</v>
      </c>
      <c r="BQ34" s="53">
        <v>11.864505544978147</v>
      </c>
      <c r="BR34" s="53">
        <v>11.914869197349669</v>
      </c>
      <c r="BS34" s="53">
        <v>11.751947434685572</v>
      </c>
      <c r="BT34" s="53">
        <v>11.869919109631299</v>
      </c>
      <c r="BU34" s="53">
        <v>11.834943160901926</v>
      </c>
      <c r="BV34" s="53">
        <v>11.321811872198968</v>
      </c>
      <c r="BW34" s="53">
        <v>11.212784508685807</v>
      </c>
      <c r="BX34" s="53">
        <v>9.9433455072202843</v>
      </c>
      <c r="BY34" s="53">
        <v>10.501702273111892</v>
      </c>
      <c r="BZ34" s="53">
        <v>10.355621765450131</v>
      </c>
      <c r="CA34" s="53">
        <v>9.7416427909387799</v>
      </c>
      <c r="CB34" s="53">
        <v>10.823171266143609</v>
      </c>
      <c r="CC34" s="53">
        <v>11.740134429276177</v>
      </c>
      <c r="CD34" s="53">
        <v>11.971450493187062</v>
      </c>
      <c r="CE34" s="53">
        <v>12.215833281027667</v>
      </c>
      <c r="CF34" s="53">
        <v>11.975368206818358</v>
      </c>
      <c r="CG34" s="53">
        <v>11.396626324289507</v>
      </c>
      <c r="CH34" s="53">
        <v>11.759249582649309</v>
      </c>
      <c r="CI34" s="53">
        <v>11.985006555819769</v>
      </c>
      <c r="CJ34" s="53">
        <v>12.021026690266252</v>
      </c>
      <c r="CK34" s="53">
        <v>11.927135750604378</v>
      </c>
      <c r="CL34" s="53">
        <v>11.96575341099733</v>
      </c>
      <c r="CM34" s="53">
        <v>11.937362974906048</v>
      </c>
      <c r="CN34" s="53">
        <v>11.489045534777306</v>
      </c>
      <c r="CO34" s="53">
        <v>11.461271195527303</v>
      </c>
      <c r="CP34" s="53">
        <v>11.400904013661753</v>
      </c>
      <c r="CQ34" s="53">
        <v>8.6388673400621006</v>
      </c>
      <c r="CR34" s="53">
        <v>8.7112101327894962</v>
      </c>
      <c r="CS34" s="53">
        <v>8.6197117806318424</v>
      </c>
      <c r="CT34" s="53">
        <v>8.3834491570878491</v>
      </c>
      <c r="CU34" s="53">
        <v>8.1830307636555215</v>
      </c>
      <c r="CV34" s="53">
        <v>7.8305744031102069</v>
      </c>
      <c r="CW34" s="53">
        <v>8.6737669797738359</v>
      </c>
      <c r="CX34" s="53">
        <v>9.2225095059532638</v>
      </c>
      <c r="CY34" s="53">
        <v>9.037955757453771</v>
      </c>
      <c r="CZ34" s="53">
        <v>8.8508263409058703</v>
      </c>
      <c r="DA34" s="53">
        <v>8.4721815518063597</v>
      </c>
      <c r="DB34" s="53">
        <v>8.4820314969768145</v>
      </c>
      <c r="DC34" s="53">
        <v>8.4943365798059727</v>
      </c>
      <c r="DD34" s="53">
        <v>8.563761138955158</v>
      </c>
      <c r="DE34" s="53">
        <v>8.5364144583194985</v>
      </c>
      <c r="DF34" s="53">
        <v>8.6417955135755449</v>
      </c>
      <c r="DG34" s="53">
        <v>8.6864091402257575</v>
      </c>
      <c r="DH34" s="53">
        <v>8.9137035858689497</v>
      </c>
      <c r="DI34" s="53">
        <v>9.1002623379886405</v>
      </c>
      <c r="DJ34" s="53">
        <v>8.8706654923765793</v>
      </c>
      <c r="DK34" s="53">
        <v>9.1768426456264027</v>
      </c>
      <c r="DL34" s="53">
        <v>9.1604713430457814</v>
      </c>
      <c r="DM34" s="53">
        <v>9.3920970374982762</v>
      </c>
      <c r="DN34" s="53">
        <v>9.1315604113627984</v>
      </c>
      <c r="DO34" s="53">
        <v>9.004122365067655</v>
      </c>
      <c r="DP34" s="53">
        <v>9.090117781234591</v>
      </c>
      <c r="DQ34" s="53">
        <v>9.0091982415609611</v>
      </c>
      <c r="DR34" s="53">
        <v>8.938918950216987</v>
      </c>
      <c r="DS34" s="53">
        <v>8.7804910781360412</v>
      </c>
      <c r="DT34" s="53">
        <v>8.8881867552991221</v>
      </c>
      <c r="DU34" s="53">
        <v>9.0221576788017508</v>
      </c>
      <c r="DV34" s="53">
        <v>8.81</v>
      </c>
      <c r="DW34" s="53">
        <v>8.8615153984800603</v>
      </c>
      <c r="DX34" s="53">
        <v>8.7624999745883105</v>
      </c>
      <c r="DY34" s="53">
        <v>8.3820530993143088</v>
      </c>
      <c r="DZ34" s="53">
        <v>8.3106887128232323</v>
      </c>
      <c r="EA34" s="53">
        <v>8.0876305098671857</v>
      </c>
      <c r="EB34" s="53">
        <v>8.1661437138603166</v>
      </c>
      <c r="EC34" s="53">
        <v>8.1255821813752842</v>
      </c>
      <c r="ED34" s="53">
        <v>8.2467278294359563</v>
      </c>
      <c r="EE34" s="53">
        <v>7.6929924985761007</v>
      </c>
      <c r="EF34" s="53">
        <v>7.8426124702617264</v>
      </c>
      <c r="EG34" s="53">
        <v>7.5144766954884732</v>
      </c>
      <c r="EH34" s="53">
        <v>7.5918116071319997</v>
      </c>
      <c r="EI34" s="53">
        <v>7.5345812740672704</v>
      </c>
      <c r="EJ34" s="53">
        <v>7.515171044014715</v>
      </c>
      <c r="EK34" s="53">
        <v>7.4338123127537035</v>
      </c>
      <c r="EL34" s="53">
        <v>7.1382985177734586</v>
      </c>
      <c r="EM34" s="53">
        <v>7.0433065045091325</v>
      </c>
      <c r="EN34" s="53">
        <v>6.8582941849945165</v>
      </c>
      <c r="EO34" s="53">
        <v>6.7081228806513806</v>
      </c>
      <c r="EP34" s="53">
        <v>6.7484393071467634</v>
      </c>
      <c r="EQ34" s="53">
        <v>6.9105804335800576</v>
      </c>
      <c r="ER34" s="53">
        <v>6.7175664109533839</v>
      </c>
      <c r="ES34" s="53">
        <v>6.7789323334650993</v>
      </c>
      <c r="ET34" s="53">
        <v>6.9709299324874197</v>
      </c>
      <c r="EU34" s="53">
        <v>6.9701056191116733</v>
      </c>
      <c r="EV34" s="53">
        <v>7.1594433999525604</v>
      </c>
      <c r="EW34" s="53">
        <v>7.1168480882683651</v>
      </c>
      <c r="EX34" s="53">
        <v>7.1590120753786497</v>
      </c>
      <c r="EY34" s="53">
        <v>7.0480177807589612</v>
      </c>
      <c r="EZ34" s="53">
        <v>6.9003174586678711</v>
      </c>
      <c r="FA34" s="53">
        <v>6.9651254790801946</v>
      </c>
      <c r="FB34" s="53">
        <v>6.8862426319533387</v>
      </c>
      <c r="FC34" s="53">
        <v>6.8890642569695322</v>
      </c>
      <c r="FD34" s="53">
        <v>6.8371111461014253</v>
      </c>
      <c r="FE34" s="53">
        <v>6.7065011725772505</v>
      </c>
      <c r="FF34" s="53">
        <v>6.6323166844491714</v>
      </c>
      <c r="FG34" s="53">
        <v>6.6222519134979532</v>
      </c>
      <c r="FH34" s="53">
        <v>6.6171966308235453</v>
      </c>
      <c r="FI34" s="53">
        <v>6.6589596932397344</v>
      </c>
      <c r="FJ34" s="53">
        <v>6.6454053075662198</v>
      </c>
      <c r="FK34" s="53">
        <v>6.7124006579954072</v>
      </c>
      <c r="FL34" s="53">
        <v>6.6813507235499792</v>
      </c>
      <c r="FM34" s="53">
        <v>6.7002770781036576</v>
      </c>
      <c r="FN34" s="53">
        <v>6.7248718734778139</v>
      </c>
      <c r="FO34" s="53">
        <v>6.7371300537357088</v>
      </c>
      <c r="FP34" s="53">
        <v>6.7014918396882575</v>
      </c>
      <c r="FQ34" s="53">
        <v>6.8268619755696927</v>
      </c>
      <c r="FR34" s="53">
        <v>6.5596226055846012</v>
      </c>
      <c r="FS34" s="53">
        <v>6.5772670367811594</v>
      </c>
      <c r="FT34" s="53">
        <v>6.5310516237395131</v>
      </c>
      <c r="FU34" s="53">
        <v>6.5008181996205492</v>
      </c>
      <c r="FV34" s="53">
        <v>6.4350909545223542</v>
      </c>
      <c r="FW34" s="53">
        <v>6.3390877331889337</v>
      </c>
      <c r="FX34" s="53">
        <v>6.4493364703512288</v>
      </c>
      <c r="FY34" s="53">
        <v>6.488953846285467</v>
      </c>
      <c r="FZ34" s="46">
        <v>6.4392859696689531</v>
      </c>
      <c r="GA34" s="46">
        <v>6.3946785151010443</v>
      </c>
      <c r="GB34" s="47">
        <v>6.1860176139030925</v>
      </c>
      <c r="GC34" s="47">
        <v>6.1068035355891395</v>
      </c>
      <c r="GD34" s="48">
        <v>6.1733926846289684</v>
      </c>
      <c r="GE34" s="53">
        <v>6.2087296758505275</v>
      </c>
      <c r="GF34" s="53">
        <v>6.2226437806834944</v>
      </c>
      <c r="GG34" s="52">
        <v>6.3276433908123861</v>
      </c>
      <c r="GH34" s="52">
        <v>6.4025277535946401</v>
      </c>
      <c r="GI34" s="52">
        <v>6.4089099400464402</v>
      </c>
      <c r="GJ34" s="52">
        <v>6.5822320873240097</v>
      </c>
      <c r="GK34" s="52">
        <v>6.6396219057218104</v>
      </c>
      <c r="GL34" s="52">
        <v>6.6905435683692804</v>
      </c>
      <c r="GM34" s="50">
        <v>6.7964927110864002</v>
      </c>
      <c r="GN34" s="50">
        <v>6.7221503129738398</v>
      </c>
      <c r="GO34" s="50">
        <v>6.7612721001391396</v>
      </c>
      <c r="GP34" s="50">
        <v>6.8297939577140001</v>
      </c>
      <c r="GQ34" s="50">
        <v>6.9092666294686502</v>
      </c>
      <c r="GR34" s="50">
        <v>7.0064492847260702</v>
      </c>
      <c r="GS34" s="50">
        <v>7.0297263863840396</v>
      </c>
      <c r="GT34" s="50">
        <v>7.1040739240583104</v>
      </c>
      <c r="GU34" s="50">
        <v>7.0066656691098199</v>
      </c>
      <c r="GV34" s="50">
        <v>6.9496138993358896</v>
      </c>
      <c r="GW34" s="50">
        <v>7.0028877435964301</v>
      </c>
      <c r="GX34" s="50">
        <v>7.0559019418324898</v>
      </c>
      <c r="GY34" s="50">
        <v>7.0559019418324898</v>
      </c>
      <c r="GZ34" s="50">
        <v>7.1628733698995601</v>
      </c>
      <c r="HA34" s="50">
        <v>7.2233635004796204</v>
      </c>
      <c r="HB34" s="50">
        <v>7.4764375542905404</v>
      </c>
      <c r="HC34" s="50">
        <v>7.5861105893973404</v>
      </c>
      <c r="HD34" s="50">
        <v>7.6160291145444301</v>
      </c>
      <c r="HE34" s="50">
        <v>7.6570198279476598</v>
      </c>
      <c r="HF34" s="50">
        <v>7.7130471568491297</v>
      </c>
      <c r="HG34" s="50">
        <v>7.7952871774319803</v>
      </c>
      <c r="HH34" s="50">
        <v>7.8563531955571202</v>
      </c>
      <c r="HI34" s="50">
        <v>7.9450746807476902</v>
      </c>
      <c r="HJ34" s="50">
        <v>8.0210078994125809</v>
      </c>
      <c r="HK34" s="50">
        <v>8.0603184586364502</v>
      </c>
      <c r="HL34" s="50">
        <v>8.1243673954268001</v>
      </c>
      <c r="HM34" s="50">
        <v>7.9744183266417696</v>
      </c>
      <c r="HN34" s="50">
        <v>8.1002964750149307</v>
      </c>
      <c r="HO34" s="50">
        <v>8.3751218164078001</v>
      </c>
      <c r="HP34" s="50">
        <v>8.4932295687148507</v>
      </c>
      <c r="HQ34" s="50">
        <v>8.5924706507909701</v>
      </c>
      <c r="HR34" s="50">
        <v>8.7211725737942398</v>
      </c>
      <c r="HS34" s="50">
        <v>8.7332133949507895</v>
      </c>
      <c r="HT34" s="50">
        <v>8.8567018741306693</v>
      </c>
      <c r="HU34" s="50">
        <v>8.91337237504057</v>
      </c>
      <c r="HV34" s="50">
        <v>9.0656773901818699</v>
      </c>
      <c r="HW34" s="50">
        <v>9.1572724005592701</v>
      </c>
      <c r="HX34" s="50">
        <v>9.2705018246711006</v>
      </c>
      <c r="HY34" s="50">
        <v>9.1710343624985597</v>
      </c>
      <c r="HZ34" s="50">
        <v>9.1345899130266996</v>
      </c>
      <c r="IA34" s="50">
        <v>9.1783297948707503</v>
      </c>
    </row>
    <row r="35" spans="1:235">
      <c r="A35" s="12" t="s">
        <v>263</v>
      </c>
      <c r="B35" s="33" t="s">
        <v>212</v>
      </c>
      <c r="C35" s="12" t="s">
        <v>263</v>
      </c>
      <c r="D35" s="53" t="s">
        <v>236</v>
      </c>
      <c r="E35" s="53" t="s">
        <v>236</v>
      </c>
      <c r="F35" s="53" t="s">
        <v>236</v>
      </c>
      <c r="G35" s="53" t="s">
        <v>236</v>
      </c>
      <c r="H35" s="53" t="s">
        <v>236</v>
      </c>
      <c r="I35" s="53" t="s">
        <v>236</v>
      </c>
      <c r="J35" s="53" t="s">
        <v>236</v>
      </c>
      <c r="K35" s="53" t="s">
        <v>236</v>
      </c>
      <c r="L35" s="53" t="s">
        <v>236</v>
      </c>
      <c r="M35" s="53" t="s">
        <v>236</v>
      </c>
      <c r="N35" s="53" t="s">
        <v>236</v>
      </c>
      <c r="O35" s="53" t="s">
        <v>236</v>
      </c>
      <c r="P35" s="53" t="s">
        <v>236</v>
      </c>
      <c r="Q35" s="53" t="s">
        <v>236</v>
      </c>
      <c r="R35" s="53" t="s">
        <v>236</v>
      </c>
      <c r="S35" s="53" t="s">
        <v>236</v>
      </c>
      <c r="T35" s="53">
        <v>12</v>
      </c>
      <c r="U35" s="53">
        <v>11.56</v>
      </c>
      <c r="V35" s="53">
        <v>9.0500000000000007</v>
      </c>
      <c r="W35" s="53">
        <v>7.33</v>
      </c>
      <c r="X35" s="53">
        <v>7.31</v>
      </c>
      <c r="Y35" s="53">
        <v>7.7516935036091059</v>
      </c>
      <c r="Z35" s="53">
        <v>9.3894324853228959</v>
      </c>
      <c r="AA35" s="53">
        <v>8.5469013184643092</v>
      </c>
      <c r="AB35" s="53">
        <v>8.3672265501868779</v>
      </c>
      <c r="AC35" s="53">
        <v>7.7058774834437083</v>
      </c>
      <c r="AD35" s="53">
        <v>7.5709206994123202</v>
      </c>
      <c r="AE35" s="53">
        <v>6.3298268374893327</v>
      </c>
      <c r="AF35" s="53">
        <v>6.0422006218935929</v>
      </c>
      <c r="AG35" s="53">
        <v>5.9585169107666811</v>
      </c>
      <c r="AH35" s="53">
        <v>6.1183401909704838</v>
      </c>
      <c r="AI35" s="53">
        <v>6.1220336010236114</v>
      </c>
      <c r="AJ35" s="53">
        <v>6.8995617893417247</v>
      </c>
      <c r="AK35" s="53">
        <v>7.8914681399985458</v>
      </c>
      <c r="AL35" s="53">
        <v>8.2582585741015322</v>
      </c>
      <c r="AM35" s="53">
        <v>8.6040193030645824</v>
      </c>
      <c r="AN35" s="53">
        <v>8.309489728605854</v>
      </c>
      <c r="AO35" s="53">
        <v>8.2551570613153196</v>
      </c>
      <c r="AP35" s="53">
        <v>8.2661473126003688</v>
      </c>
      <c r="AQ35" s="53">
        <v>8.5823780402948486</v>
      </c>
      <c r="AR35" s="53">
        <v>8.500013493752272</v>
      </c>
      <c r="AS35" s="53">
        <v>8.7711731401703208</v>
      </c>
      <c r="AT35" s="53">
        <v>8.4854168001498262</v>
      </c>
      <c r="AU35" s="53">
        <v>8.4851581891146797</v>
      </c>
      <c r="AV35" s="53">
        <v>8.4709916954405422</v>
      </c>
      <c r="AW35" s="53">
        <v>8.4592133457492906</v>
      </c>
      <c r="AX35" s="53">
        <v>8.5450856286337142</v>
      </c>
      <c r="AY35" s="53">
        <v>8.4316675338751601</v>
      </c>
      <c r="AZ35" s="53">
        <v>8.587138632923029</v>
      </c>
      <c r="BA35" s="53">
        <v>8.4300134268074487</v>
      </c>
      <c r="BB35" s="53">
        <v>9.5588130454464597</v>
      </c>
      <c r="BC35" s="53">
        <v>7.2096940036103243</v>
      </c>
      <c r="BD35" s="53">
        <v>7.1972396260353424</v>
      </c>
      <c r="BE35" s="53">
        <v>7.1848784347727683</v>
      </c>
      <c r="BF35" s="53">
        <v>8.5672544197600047</v>
      </c>
      <c r="BG35" s="53">
        <v>8.6024509439521779</v>
      </c>
      <c r="BH35" s="53">
        <v>8.4987876318652145</v>
      </c>
      <c r="BI35" s="53">
        <v>8.392804326015499</v>
      </c>
      <c r="BJ35" s="53">
        <v>8.2787198590861966</v>
      </c>
      <c r="BK35" s="53">
        <v>8.5796143556476032</v>
      </c>
      <c r="BL35" s="53">
        <v>8.4995342111324579</v>
      </c>
      <c r="BM35" s="53">
        <v>8.4271961403672186</v>
      </c>
      <c r="BN35" s="53">
        <v>8.4363856693530064</v>
      </c>
      <c r="BO35" s="53">
        <v>8.1091002810522106</v>
      </c>
      <c r="BP35" s="53">
        <v>8.1832357683912615</v>
      </c>
      <c r="BQ35" s="53">
        <v>8.381590078984356</v>
      </c>
      <c r="BR35" s="53">
        <v>8.3799410046427134</v>
      </c>
      <c r="BS35" s="53">
        <v>8.3032014891012107</v>
      </c>
      <c r="BT35" s="53">
        <v>8.3938822020289621</v>
      </c>
      <c r="BU35" s="53">
        <v>8.3458379357517121</v>
      </c>
      <c r="BV35" s="53">
        <v>8.2958362724870529</v>
      </c>
      <c r="BW35" s="53">
        <v>8.3328359718555021</v>
      </c>
      <c r="BX35" s="53">
        <v>8.3757694307622899</v>
      </c>
      <c r="BY35" s="53">
        <v>8.2914534722020043</v>
      </c>
      <c r="BZ35" s="53">
        <v>8.2896433383996335</v>
      </c>
      <c r="CA35" s="53">
        <v>8.3203746766765239</v>
      </c>
      <c r="CB35" s="53">
        <v>8.2867563453280955</v>
      </c>
      <c r="CC35" s="53">
        <v>8.2538930968356485</v>
      </c>
      <c r="CD35" s="53">
        <v>8.251803425457803</v>
      </c>
      <c r="CE35" s="53">
        <v>8.0522461040133724</v>
      </c>
      <c r="CF35" s="53">
        <v>8.350392820941785</v>
      </c>
      <c r="CG35" s="53">
        <v>8.0515416489192333</v>
      </c>
      <c r="CH35" s="53">
        <v>7.9913779794679876</v>
      </c>
      <c r="CI35" s="53">
        <v>8.06</v>
      </c>
      <c r="CJ35" s="53">
        <v>7.97</v>
      </c>
      <c r="CK35" s="53">
        <v>7.9242434335464251</v>
      </c>
      <c r="CL35" s="53">
        <v>7.9043853126816819</v>
      </c>
      <c r="CM35" s="53">
        <v>7.755130639849245</v>
      </c>
      <c r="CN35" s="53">
        <v>7.756313282083803</v>
      </c>
      <c r="CO35" s="53">
        <v>7.7022162138029273</v>
      </c>
      <c r="CP35" s="53">
        <v>7.6158077185180408</v>
      </c>
      <c r="CQ35" s="53">
        <v>7.6077650127055909</v>
      </c>
      <c r="CR35" s="53">
        <v>7.666903524079502</v>
      </c>
      <c r="CS35" s="53">
        <v>7.6012214734696189</v>
      </c>
      <c r="CT35" s="53">
        <v>7.2094036119277609</v>
      </c>
      <c r="CU35" s="53">
        <v>7.560373880885856</v>
      </c>
      <c r="CV35" s="53">
        <v>7.814107028973365</v>
      </c>
      <c r="CW35" s="53">
        <v>7.9257748455304853</v>
      </c>
      <c r="CX35" s="53">
        <v>8.1428866118858565</v>
      </c>
      <c r="CY35" s="53">
        <v>8.1976043765764697</v>
      </c>
      <c r="CZ35" s="53">
        <v>8.4805947052856911</v>
      </c>
      <c r="DA35" s="53">
        <v>8.1497422778023942</v>
      </c>
      <c r="DB35" s="53">
        <v>8.0915300183041072</v>
      </c>
      <c r="DC35" s="53">
        <v>8.096568894611968</v>
      </c>
      <c r="DD35" s="53">
        <v>8.073765833901497</v>
      </c>
      <c r="DE35" s="53">
        <v>8.1459238425040397</v>
      </c>
      <c r="DF35" s="53">
        <v>8.1703032995910068</v>
      </c>
      <c r="DG35" s="53">
        <v>8.2844048047394256</v>
      </c>
      <c r="DH35" s="53">
        <v>8.3458589551069675</v>
      </c>
      <c r="DI35" s="53">
        <v>8.3790926889192967</v>
      </c>
      <c r="DJ35" s="53">
        <v>7.9807677990179284</v>
      </c>
      <c r="DK35" s="53">
        <v>7.7262498007295122</v>
      </c>
      <c r="DL35" s="53">
        <v>7.7635084554261091</v>
      </c>
      <c r="DM35" s="53">
        <v>7.7957630379189231</v>
      </c>
      <c r="DN35" s="53">
        <v>8.0929168691964435</v>
      </c>
      <c r="DO35" s="53">
        <v>8.1311550649601188</v>
      </c>
      <c r="DP35" s="53">
        <v>8.336429401480757</v>
      </c>
      <c r="DQ35" s="53">
        <v>8.3003376728205644</v>
      </c>
      <c r="DR35" s="53">
        <v>8.1777618791951578</v>
      </c>
      <c r="DS35" s="53">
        <v>8.1134361430866733</v>
      </c>
      <c r="DT35" s="53">
        <v>8.2102198343319692</v>
      </c>
      <c r="DU35" s="53">
        <v>8.2588233282663346</v>
      </c>
      <c r="DV35" s="53">
        <v>8.31</v>
      </c>
      <c r="DW35" s="53">
        <v>8.1917345883275416</v>
      </c>
      <c r="DX35" s="53">
        <v>8.1481893469405033</v>
      </c>
      <c r="DY35" s="53">
        <v>8.3464074613614514</v>
      </c>
      <c r="DZ35" s="53">
        <v>7.7457253074681294</v>
      </c>
      <c r="EA35" s="53">
        <v>7.5264444415942275</v>
      </c>
      <c r="EB35" s="53">
        <v>7.7119344022012495</v>
      </c>
      <c r="EC35" s="53">
        <v>7.5252408985762855</v>
      </c>
      <c r="ED35" s="53">
        <v>7.5617794395950311</v>
      </c>
      <c r="EE35" s="53">
        <v>7.5114695761007848</v>
      </c>
      <c r="EF35" s="53">
        <v>7.5218955186243903</v>
      </c>
      <c r="EG35" s="53">
        <v>7.3494661353028361</v>
      </c>
      <c r="EH35" s="53">
        <v>7.2412231984516291</v>
      </c>
      <c r="EI35" s="53">
        <v>7.2942296620821612</v>
      </c>
      <c r="EJ35" s="53">
        <v>7.3850903382320183</v>
      </c>
      <c r="EK35" s="53">
        <v>7.358519241658307</v>
      </c>
      <c r="EL35" s="53">
        <v>7.3535431986420337</v>
      </c>
      <c r="EM35" s="53">
        <v>7.5116366685108327</v>
      </c>
      <c r="EN35" s="53">
        <v>7.7636064560457783</v>
      </c>
      <c r="EO35" s="53">
        <v>7.3487100213782419</v>
      </c>
      <c r="EP35" s="53">
        <v>7.417214075856732</v>
      </c>
      <c r="EQ35" s="53">
        <v>7.6428119571016859</v>
      </c>
      <c r="ER35" s="53">
        <v>7.7219562839409539</v>
      </c>
      <c r="ES35" s="53">
        <v>7.4937943486610337</v>
      </c>
      <c r="ET35" s="53">
        <v>7.4678789273943194</v>
      </c>
      <c r="EU35" s="53">
        <v>7.4103906251324823</v>
      </c>
      <c r="EV35" s="53">
        <v>7.3293839931270242</v>
      </c>
      <c r="EW35" s="53">
        <v>7.4294532712982111</v>
      </c>
      <c r="EX35" s="53">
        <v>7.4201645283530988</v>
      </c>
      <c r="EY35" s="53">
        <v>7.4311306977433693</v>
      </c>
      <c r="EZ35" s="53">
        <v>7.3864224443007203</v>
      </c>
      <c r="FA35" s="53">
        <v>7.4645233082550844</v>
      </c>
      <c r="FB35" s="53">
        <v>7.298689326268196</v>
      </c>
      <c r="FC35" s="53">
        <v>7.2966209181990553</v>
      </c>
      <c r="FD35" s="53">
        <v>7.2920004880457174</v>
      </c>
      <c r="FE35" s="53">
        <v>7.25012785058298</v>
      </c>
      <c r="FF35" s="53">
        <v>7.3278559847426887</v>
      </c>
      <c r="FG35" s="53">
        <v>7.3238566893583119</v>
      </c>
      <c r="FH35" s="53">
        <v>7.2716361725696412</v>
      </c>
      <c r="FI35" s="53">
        <v>7.2398056085688394</v>
      </c>
      <c r="FJ35" s="53">
        <v>7.218415448274226</v>
      </c>
      <c r="FK35" s="53">
        <v>7.1911051881564543</v>
      </c>
      <c r="FL35" s="53">
        <v>7.1958410231467598</v>
      </c>
      <c r="FM35" s="53">
        <v>7.198304219292889</v>
      </c>
      <c r="FN35" s="53">
        <v>7.1449745074930657</v>
      </c>
      <c r="FO35" s="53">
        <v>7.0222478601232927</v>
      </c>
      <c r="FP35" s="53">
        <v>6.9798947494857186</v>
      </c>
      <c r="FQ35" s="53">
        <v>6.94627304951306</v>
      </c>
      <c r="FR35" s="53">
        <v>7.0721831565620414</v>
      </c>
      <c r="FS35" s="53">
        <v>7.0055314052131905</v>
      </c>
      <c r="FT35" s="53">
        <v>6.9968771524521047</v>
      </c>
      <c r="FU35" s="53">
        <v>7.0075036192932689</v>
      </c>
      <c r="FV35" s="53">
        <v>6.9772576017726573</v>
      </c>
      <c r="FW35" s="53">
        <v>7.0662977715628115</v>
      </c>
      <c r="FX35" s="53">
        <v>7.1518162790577131</v>
      </c>
      <c r="FY35" s="53">
        <v>7.1430565021236303</v>
      </c>
      <c r="FZ35" s="53">
        <v>7.1530062843505835</v>
      </c>
      <c r="GA35" s="46">
        <v>7.1680676855117706</v>
      </c>
      <c r="GB35" s="47">
        <v>7.1060051957943848</v>
      </c>
      <c r="GC35" s="47">
        <v>6.9691628440527156</v>
      </c>
      <c r="GD35" s="47">
        <v>6.9831253259060775</v>
      </c>
      <c r="GE35" s="53">
        <v>6.9702479380235696</v>
      </c>
      <c r="GF35" s="53">
        <v>6.9594784841435589</v>
      </c>
      <c r="GG35" s="52">
        <v>6.9659257001665624</v>
      </c>
      <c r="GH35" s="52">
        <v>6.9468547346005503</v>
      </c>
      <c r="GI35" s="52">
        <v>6.9571151306307097</v>
      </c>
      <c r="GJ35" s="52">
        <v>6.9285587891580001</v>
      </c>
      <c r="GK35" s="52">
        <v>6.9439581299903104</v>
      </c>
      <c r="GL35" s="52">
        <v>6.92222277920912</v>
      </c>
      <c r="GM35" s="50">
        <v>6.9262080916725699</v>
      </c>
      <c r="GN35" s="50">
        <v>6.9389681957773899</v>
      </c>
      <c r="GO35" s="50">
        <v>6.9473365267137703</v>
      </c>
      <c r="GP35" s="50">
        <v>6.9532677027127203</v>
      </c>
      <c r="GQ35" s="50">
        <v>7.0004759051026104</v>
      </c>
      <c r="GR35" s="50">
        <v>6.9217580809889299</v>
      </c>
      <c r="GS35" s="50">
        <v>6.8962676022189502</v>
      </c>
      <c r="GT35" s="50">
        <v>6.8841380261920904</v>
      </c>
      <c r="GU35" s="50">
        <v>6.9015817705238396</v>
      </c>
      <c r="GV35" s="50">
        <v>6.8865142374536203</v>
      </c>
      <c r="GW35" s="50">
        <v>6.8854930314055904</v>
      </c>
      <c r="GX35" s="50">
        <v>6.9138132136375203</v>
      </c>
      <c r="GY35" s="50">
        <v>6.9138132136375203</v>
      </c>
      <c r="GZ35" s="50">
        <v>6.9076089241332301</v>
      </c>
      <c r="HA35" s="50">
        <v>6.9751058765641503</v>
      </c>
      <c r="HB35" s="50">
        <v>6.9649471355593899</v>
      </c>
      <c r="HC35" s="50">
        <v>6.9607394059763497</v>
      </c>
      <c r="HD35" s="50">
        <v>6.9384660364501203</v>
      </c>
      <c r="HE35" s="50">
        <v>6.9123115204927803</v>
      </c>
      <c r="HF35" s="50">
        <v>6.9280039542685996</v>
      </c>
      <c r="HG35" s="50">
        <v>6.9316370101092799</v>
      </c>
      <c r="HH35" s="50">
        <v>6.9361678590223299</v>
      </c>
      <c r="HI35" s="50">
        <v>6.9008666943156101</v>
      </c>
      <c r="HJ35" s="50">
        <v>6.8967520534743798</v>
      </c>
      <c r="HK35" s="50">
        <v>6.9857168825821603</v>
      </c>
      <c r="HL35" s="50">
        <v>6.9475342924082097</v>
      </c>
      <c r="HM35" s="50">
        <v>6.9748762760833998</v>
      </c>
      <c r="HN35" s="50">
        <v>6.6361776079148003</v>
      </c>
      <c r="HO35" s="50">
        <v>6.9611242810533298</v>
      </c>
      <c r="HP35" s="50">
        <v>6.9681828516171302</v>
      </c>
      <c r="HQ35" s="50">
        <v>6.9357152950227903</v>
      </c>
      <c r="HR35" s="50">
        <v>6.9293187542894303</v>
      </c>
      <c r="HS35" s="50">
        <v>6.8968254760719496</v>
      </c>
      <c r="HT35" s="50">
        <v>6.9175597108325704</v>
      </c>
      <c r="HU35" s="50">
        <v>6.9197345240479304</v>
      </c>
      <c r="HV35" s="50">
        <v>6.9215772915071003</v>
      </c>
      <c r="HW35" s="50">
        <v>6.9431356728238898</v>
      </c>
      <c r="HX35" s="50">
        <v>6.97394549726818</v>
      </c>
      <c r="HY35" s="50">
        <v>6.93662942823675</v>
      </c>
      <c r="HZ35" s="50">
        <v>6.9975137553791704</v>
      </c>
      <c r="IA35" s="50">
        <v>6.99184925866391</v>
      </c>
    </row>
    <row r="36" spans="1:235" ht="15" customHeight="1">
      <c r="B36" s="21" t="s">
        <v>237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GE36" s="53"/>
      <c r="GG36" s="52"/>
      <c r="GO36" s="50"/>
      <c r="GS36" s="50"/>
    </row>
    <row r="37" spans="1:235">
      <c r="A37" s="12" t="s">
        <v>264</v>
      </c>
      <c r="B37" s="33" t="s">
        <v>200</v>
      </c>
      <c r="C37" s="12" t="s">
        <v>264</v>
      </c>
      <c r="D37" s="53">
        <v>18.62</v>
      </c>
      <c r="E37" s="53">
        <v>12.15</v>
      </c>
      <c r="F37" s="53">
        <v>13.16</v>
      </c>
      <c r="G37" s="53">
        <v>14.82</v>
      </c>
      <c r="H37" s="53">
        <v>14.51</v>
      </c>
      <c r="I37" s="53">
        <v>15.86</v>
      </c>
      <c r="J37" s="53">
        <v>16.22</v>
      </c>
      <c r="K37" s="53">
        <v>16.64</v>
      </c>
      <c r="L37" s="53">
        <v>16.64</v>
      </c>
      <c r="M37" s="53">
        <v>17.850000000000001</v>
      </c>
      <c r="N37" s="53">
        <v>16.809999999999999</v>
      </c>
      <c r="O37" s="53">
        <v>18.145371283021852</v>
      </c>
      <c r="P37" s="53">
        <v>16.38</v>
      </c>
      <c r="Q37" s="53">
        <v>16.43</v>
      </c>
      <c r="R37" s="53">
        <v>19.48</v>
      </c>
      <c r="S37" s="53">
        <v>19.03</v>
      </c>
      <c r="T37" s="53">
        <v>19.03</v>
      </c>
      <c r="U37" s="53">
        <v>19.031592540524215</v>
      </c>
      <c r="V37" s="53">
        <v>19.031592540524215</v>
      </c>
      <c r="W37" s="53">
        <v>17.20020018478596</v>
      </c>
      <c r="X37" s="53">
        <v>17.461670181987866</v>
      </c>
      <c r="Y37" s="53">
        <v>16.916001290166513</v>
      </c>
      <c r="Z37" s="53">
        <v>16.264133889138755</v>
      </c>
      <c r="AA37" s="53">
        <v>16.226323570884212</v>
      </c>
      <c r="AB37" s="53">
        <v>17.235705201494103</v>
      </c>
      <c r="AC37" s="53">
        <v>17.226960926964257</v>
      </c>
      <c r="AD37" s="53">
        <v>16.89</v>
      </c>
      <c r="AE37" s="53">
        <v>17.398744831890159</v>
      </c>
      <c r="AF37" s="53">
        <v>18.037256555388705</v>
      </c>
      <c r="AG37" s="53">
        <v>17.294305363803971</v>
      </c>
      <c r="AH37" s="53">
        <v>16.994331816712712</v>
      </c>
      <c r="AI37" s="53">
        <v>15.596468700413798</v>
      </c>
      <c r="AJ37" s="53">
        <v>16.986244268822617</v>
      </c>
      <c r="AK37" s="53">
        <v>17.070255063201216</v>
      </c>
      <c r="AL37" s="53">
        <v>17.013495465922162</v>
      </c>
      <c r="AM37" s="53">
        <v>16.260744592308406</v>
      </c>
      <c r="AN37" s="53">
        <v>16.624766610578547</v>
      </c>
      <c r="AO37" s="53">
        <v>16.250093424700626</v>
      </c>
      <c r="AP37" s="53">
        <v>16.010649716035779</v>
      </c>
      <c r="AQ37" s="53">
        <v>15.788334570633253</v>
      </c>
      <c r="AR37" s="53">
        <v>14.876579650180226</v>
      </c>
      <c r="AS37" s="53">
        <v>15.655063515616323</v>
      </c>
      <c r="AT37" s="53">
        <v>15.484806593324345</v>
      </c>
      <c r="AU37" s="53">
        <v>15.54</v>
      </c>
      <c r="AV37" s="53">
        <v>15.46</v>
      </c>
      <c r="AW37" s="53">
        <v>15.873012664931679</v>
      </c>
      <c r="AX37" s="53">
        <v>16.60312553067812</v>
      </c>
      <c r="AY37" s="53">
        <v>17.826315315231724</v>
      </c>
      <c r="AZ37" s="53">
        <v>16.874954894442997</v>
      </c>
      <c r="BA37" s="53">
        <v>17.830520308421708</v>
      </c>
      <c r="BB37" s="53">
        <v>16.398415343615476</v>
      </c>
      <c r="BC37" s="53">
        <v>16.713024137010343</v>
      </c>
      <c r="BD37" s="53">
        <v>17.803849875388636</v>
      </c>
      <c r="BE37" s="53">
        <v>16.640745923294727</v>
      </c>
      <c r="BF37" s="53">
        <v>18.059999999999999</v>
      </c>
      <c r="BG37" s="53">
        <v>16.137374622725897</v>
      </c>
      <c r="BH37" s="53">
        <v>15.084702993403175</v>
      </c>
      <c r="BI37" s="53">
        <v>18.708027737034687</v>
      </c>
      <c r="BJ37" s="53">
        <v>15.334492432986369</v>
      </c>
      <c r="BK37" s="53">
        <v>18.40961558221953</v>
      </c>
      <c r="BL37" s="53">
        <v>17.680176814578594</v>
      </c>
      <c r="BM37" s="53">
        <v>15.577801359524807</v>
      </c>
      <c r="BN37" s="53">
        <v>14.782528849178316</v>
      </c>
      <c r="BO37" s="53">
        <v>14.194405089678705</v>
      </c>
      <c r="BP37" s="53">
        <v>14.648151170197591</v>
      </c>
      <c r="BQ37" s="53">
        <v>14.599934021952643</v>
      </c>
      <c r="BR37" s="53">
        <v>14.958408573045267</v>
      </c>
      <c r="BS37" s="53">
        <v>13.465896074930596</v>
      </c>
      <c r="BT37" s="53">
        <v>13.84</v>
      </c>
      <c r="BU37" s="53">
        <v>13.814591157447547</v>
      </c>
      <c r="BV37" s="53">
        <v>13.875936392636824</v>
      </c>
      <c r="BW37" s="53">
        <v>13.406176420127229</v>
      </c>
      <c r="BX37" s="53">
        <v>13.132136366869879</v>
      </c>
      <c r="BY37" s="53">
        <v>11.863007691990093</v>
      </c>
      <c r="BZ37" s="53">
        <v>12.100025118949716</v>
      </c>
      <c r="CA37" s="53">
        <v>11.478376629003776</v>
      </c>
      <c r="CB37" s="53">
        <v>11.037573951098118</v>
      </c>
      <c r="CC37" s="53">
        <v>10.955032749994034</v>
      </c>
      <c r="CD37" s="53">
        <v>10.823332463585734</v>
      </c>
      <c r="CE37" s="53">
        <v>11.876123046384791</v>
      </c>
      <c r="CF37" s="53">
        <v>10.722193253954966</v>
      </c>
      <c r="CG37" s="53">
        <v>10.352441329343202</v>
      </c>
      <c r="CH37" s="53">
        <v>9.6101490870278123</v>
      </c>
      <c r="CI37" s="53">
        <v>9.9116933689184972</v>
      </c>
      <c r="CJ37" s="53">
        <v>9.7790104236648077</v>
      </c>
      <c r="CK37" s="53">
        <v>9.8614706846305342</v>
      </c>
      <c r="CL37" s="53">
        <v>9.7641974619601672</v>
      </c>
      <c r="CM37" s="53">
        <v>9.734879656121894</v>
      </c>
      <c r="CN37" s="53">
        <v>10.269542042192738</v>
      </c>
      <c r="CO37" s="53">
        <v>9.584958863592755</v>
      </c>
      <c r="CP37" s="53">
        <v>9.512187327695667</v>
      </c>
      <c r="CQ37" s="53">
        <v>9.3021024444269056</v>
      </c>
      <c r="CR37" s="53">
        <v>9.4324977561453842</v>
      </c>
      <c r="CS37" s="53">
        <v>8.3603889957522277</v>
      </c>
      <c r="CT37" s="53">
        <v>8.506045031161424</v>
      </c>
      <c r="CU37" s="53">
        <v>8.7486863169482163</v>
      </c>
      <c r="CV37" s="53">
        <v>9.0434566229883746</v>
      </c>
      <c r="CW37" s="53">
        <v>9.1472313789692627</v>
      </c>
      <c r="CX37" s="53">
        <v>8.237982734210803</v>
      </c>
      <c r="CY37" s="53">
        <v>8.6410086837839764</v>
      </c>
      <c r="CZ37" s="53">
        <v>8.2544667247436312</v>
      </c>
      <c r="DA37" s="53">
        <v>7.9419748518099063</v>
      </c>
      <c r="DB37" s="53">
        <v>8.270549915904569</v>
      </c>
      <c r="DC37" s="53">
        <v>7.9801216739622127</v>
      </c>
      <c r="DD37" s="53">
        <v>8.4947551011168905</v>
      </c>
      <c r="DE37" s="53">
        <v>10.264774187687037</v>
      </c>
      <c r="DF37" s="53">
        <v>8.4152723373436729</v>
      </c>
      <c r="DG37" s="53">
        <v>10.099371978487431</v>
      </c>
      <c r="DH37" s="53">
        <v>10.111265715704572</v>
      </c>
      <c r="DI37" s="53">
        <v>9.2834186641242891</v>
      </c>
      <c r="DJ37" s="53">
        <v>7.6350639756918488</v>
      </c>
      <c r="DK37" s="53">
        <v>9.7656766121779981</v>
      </c>
      <c r="DL37" s="53">
        <v>10.048143635013266</v>
      </c>
      <c r="DM37" s="53">
        <v>10.133558819850807</v>
      </c>
      <c r="DN37" s="53">
        <v>9.6974188652920734</v>
      </c>
      <c r="DO37" s="53">
        <v>9.4217443231602402</v>
      </c>
      <c r="DP37" s="53">
        <v>9.5807301060844186</v>
      </c>
      <c r="DQ37" s="53">
        <v>9.6583511222979173</v>
      </c>
      <c r="DR37" s="53">
        <v>7.8612073876195696</v>
      </c>
      <c r="DS37" s="53">
        <v>7.9446583368502504</v>
      </c>
      <c r="DT37" s="53">
        <v>7.7846597811002534</v>
      </c>
      <c r="DU37" s="53">
        <v>7.9380828566585553</v>
      </c>
      <c r="DV37" s="53">
        <v>8.02</v>
      </c>
      <c r="DW37" s="53">
        <v>8.0723603633603549</v>
      </c>
      <c r="DX37" s="53">
        <v>7.2894131405449576</v>
      </c>
      <c r="DY37" s="53">
        <v>7.4585731002344451</v>
      </c>
      <c r="DZ37" s="53">
        <v>7.0155188127891455</v>
      </c>
      <c r="EA37" s="53">
        <v>7.0413483739480949</v>
      </c>
      <c r="EB37" s="53">
        <v>6.3256515342178812</v>
      </c>
      <c r="EC37" s="53">
        <v>6.6163932333027597</v>
      </c>
      <c r="ED37" s="53">
        <v>6.7433626608861603</v>
      </c>
      <c r="EE37" s="53">
        <v>7.1548843281367001</v>
      </c>
      <c r="EF37" s="53">
        <v>6.71202305724068</v>
      </c>
      <c r="EG37" s="53">
        <v>5.6525575817833902</v>
      </c>
      <c r="EH37" s="53">
        <v>5.8855327241111901</v>
      </c>
      <c r="EI37" s="53">
        <v>5.8788109668322397</v>
      </c>
      <c r="EJ37" s="53">
        <v>5.845806271567457</v>
      </c>
      <c r="EK37" s="53">
        <v>5.3191613893579621</v>
      </c>
      <c r="EL37" s="53">
        <v>4.639443797427</v>
      </c>
      <c r="EM37" s="53">
        <v>4.301152189109108</v>
      </c>
      <c r="EN37" s="53">
        <v>5.9005480072219294</v>
      </c>
      <c r="EO37" s="53">
        <v>5.6532796451905307</v>
      </c>
      <c r="EP37" s="53">
        <v>5.6210032787954995</v>
      </c>
      <c r="EQ37" s="53">
        <v>6.6873983365152156</v>
      </c>
      <c r="ER37" s="53">
        <v>7.778842885147168</v>
      </c>
      <c r="ES37" s="53">
        <v>10.860672641707177</v>
      </c>
      <c r="ET37" s="53">
        <v>10.956121358425721</v>
      </c>
      <c r="EU37" s="53">
        <v>13.371821782821886</v>
      </c>
      <c r="EV37" s="53">
        <v>12.475447632312395</v>
      </c>
      <c r="EW37" s="53">
        <v>11.091475159796293</v>
      </c>
      <c r="EX37" s="53">
        <v>11.171539890054671</v>
      </c>
      <c r="EY37" s="53">
        <v>10.418541218040712</v>
      </c>
      <c r="EZ37" s="53">
        <v>9.1764459857847775</v>
      </c>
      <c r="FA37" s="53">
        <v>8.4396189256677054</v>
      </c>
      <c r="FB37" s="53">
        <v>8.4115397469527888</v>
      </c>
      <c r="FC37" s="53">
        <v>7.9430832578659309</v>
      </c>
      <c r="FD37" s="53">
        <v>7.8943426171339119</v>
      </c>
      <c r="FE37" s="53">
        <v>11.800540936374265</v>
      </c>
      <c r="FF37" s="53">
        <v>10.772005915644709</v>
      </c>
      <c r="FG37" s="53">
        <v>10.784115961128247</v>
      </c>
      <c r="FH37" s="53">
        <v>12.386978845728745</v>
      </c>
      <c r="FI37" s="53">
        <v>11.583975691832702</v>
      </c>
      <c r="FJ37" s="53">
        <v>11.636319054889617</v>
      </c>
      <c r="FK37" s="53">
        <v>11.229027170193126</v>
      </c>
      <c r="FL37" s="53">
        <v>10.634985333055015</v>
      </c>
      <c r="FM37" s="53">
        <v>10.616585775637995</v>
      </c>
      <c r="FN37" s="53">
        <v>10.41931877617677</v>
      </c>
      <c r="FO37" s="53">
        <v>6.5610006504664895</v>
      </c>
      <c r="FP37" s="53">
        <v>6.8478700041645437</v>
      </c>
      <c r="FQ37" s="53">
        <v>9.4630625891120417</v>
      </c>
      <c r="FR37" s="53">
        <v>9.2768482359278224</v>
      </c>
      <c r="FS37" s="53">
        <v>9.2712555735711391</v>
      </c>
      <c r="FT37" s="53">
        <v>9.1072790551297729</v>
      </c>
      <c r="FU37" s="53">
        <v>9.2703615470591423</v>
      </c>
      <c r="FV37" s="53">
        <v>9.2667965550152953</v>
      </c>
      <c r="FW37" s="53">
        <v>9.2709962597755862</v>
      </c>
      <c r="FX37" s="53">
        <v>9.2161569659103364</v>
      </c>
      <c r="FY37" s="52">
        <v>9.2154740169376232</v>
      </c>
      <c r="FZ37" s="53">
        <v>9.1733420740991374</v>
      </c>
      <c r="GA37" s="53">
        <v>9.1823694029850742</v>
      </c>
      <c r="GB37" s="46">
        <v>9.1614044168391988</v>
      </c>
      <c r="GC37" s="47">
        <v>8.9694827025268413</v>
      </c>
      <c r="GD37" s="47">
        <v>8.6638847266264758</v>
      </c>
      <c r="GE37" s="46">
        <v>8.6680757413984697</v>
      </c>
      <c r="GF37" s="53">
        <v>6.8705420405290853</v>
      </c>
      <c r="GG37" s="52">
        <v>8.901054012123538</v>
      </c>
      <c r="GH37" s="52">
        <v>9.0971291071437097</v>
      </c>
      <c r="GI37" s="52">
        <v>9.0971291071437097</v>
      </c>
      <c r="GJ37" s="52">
        <v>9.1333955001247897</v>
      </c>
      <c r="GK37" s="52">
        <v>9.1792986535629506</v>
      </c>
      <c r="GL37" s="52">
        <v>9.1792986535629506</v>
      </c>
      <c r="GM37" s="50">
        <v>8.2775927962431997</v>
      </c>
      <c r="GN37" s="50">
        <v>7.9982402446709804</v>
      </c>
      <c r="GO37" s="50">
        <v>8.0377968852274897</v>
      </c>
      <c r="GP37" s="50">
        <v>8.3763888215096607</v>
      </c>
      <c r="GQ37" s="50">
        <v>8.36795507276946</v>
      </c>
      <c r="GR37" s="50">
        <v>8.2367897887427208</v>
      </c>
      <c r="GS37" s="50">
        <v>8.3008867089188403</v>
      </c>
      <c r="GT37" s="50">
        <v>8.3008867089188403</v>
      </c>
      <c r="GU37" s="50">
        <v>8.2249579459005702</v>
      </c>
      <c r="GV37" s="50">
        <v>8.2249579459005702</v>
      </c>
      <c r="GW37" s="50">
        <v>7.9993962907606404</v>
      </c>
      <c r="GX37" s="50">
        <v>7.8956405269699896</v>
      </c>
      <c r="GY37" s="50">
        <v>7.8956405269699896</v>
      </c>
      <c r="GZ37" s="50">
        <v>7.8956405269699896</v>
      </c>
      <c r="HA37" s="50">
        <v>7.7447342768665797</v>
      </c>
      <c r="HB37" s="50">
        <v>8.4391980843331993</v>
      </c>
      <c r="HC37" s="50">
        <v>8.4391980843331993</v>
      </c>
      <c r="HD37" s="50">
        <v>8.3060926740554297</v>
      </c>
      <c r="HE37" s="50">
        <v>8.3060926740554297</v>
      </c>
      <c r="HF37" s="50">
        <v>8.2767907525252902</v>
      </c>
      <c r="HG37" s="50">
        <v>8.2839353437632006</v>
      </c>
      <c r="HH37" s="50">
        <v>8.2839353437632006</v>
      </c>
      <c r="HI37" s="50">
        <v>8.2839353437632006</v>
      </c>
      <c r="HJ37" s="50">
        <v>8.4456782490094309</v>
      </c>
      <c r="HK37" s="50">
        <v>8.5054229652733504</v>
      </c>
      <c r="HL37" s="50">
        <v>8.5054229652733504</v>
      </c>
      <c r="HM37" s="50">
        <v>8.5054229652733504</v>
      </c>
      <c r="HN37" s="50">
        <v>8.7036122803032399</v>
      </c>
      <c r="HO37" s="50">
        <v>8.7036122803032399</v>
      </c>
      <c r="HP37" s="50">
        <v>8.8341930788951206</v>
      </c>
      <c r="HQ37" s="50">
        <v>8.1834407379212095</v>
      </c>
      <c r="HR37" s="50">
        <v>7.5484858038101201</v>
      </c>
      <c r="HS37" s="50">
        <v>8.1887640874355707</v>
      </c>
      <c r="HT37" s="50">
        <v>8.9687144965467702</v>
      </c>
      <c r="HU37" s="50">
        <v>9.0491879922542608</v>
      </c>
      <c r="HV37" s="50">
        <v>9.0820673326317305</v>
      </c>
      <c r="HW37" s="50">
        <v>9.5043095741702199</v>
      </c>
      <c r="HX37" s="50">
        <v>9.76715705291471</v>
      </c>
      <c r="HY37" s="50">
        <v>9.6520349812933901</v>
      </c>
      <c r="HZ37" s="50">
        <v>9.6406022387619092</v>
      </c>
      <c r="IA37" s="50">
        <v>9.6406022387619092</v>
      </c>
    </row>
    <row r="38" spans="1:235">
      <c r="A38" s="12" t="s">
        <v>265</v>
      </c>
      <c r="B38" s="34" t="s">
        <v>213</v>
      </c>
      <c r="C38" s="12" t="s">
        <v>265</v>
      </c>
      <c r="D38" s="53" t="s">
        <v>197</v>
      </c>
      <c r="E38" s="53">
        <v>14.5</v>
      </c>
      <c r="F38" s="53" t="s">
        <v>197</v>
      </c>
      <c r="G38" s="53" t="s">
        <v>197</v>
      </c>
      <c r="H38" s="53" t="s">
        <v>197</v>
      </c>
      <c r="I38" s="53" t="s">
        <v>197</v>
      </c>
      <c r="J38" s="53">
        <v>14</v>
      </c>
      <c r="K38" s="53" t="s">
        <v>197</v>
      </c>
      <c r="L38" s="53" t="s">
        <v>197</v>
      </c>
      <c r="M38" s="53" t="s">
        <v>197</v>
      </c>
      <c r="N38" s="53" t="s">
        <v>197</v>
      </c>
      <c r="O38" s="53">
        <v>14</v>
      </c>
      <c r="P38" s="53">
        <v>8</v>
      </c>
      <c r="Q38" s="53">
        <v>8</v>
      </c>
      <c r="R38" s="53">
        <v>8</v>
      </c>
      <c r="S38" s="53">
        <v>13.19</v>
      </c>
      <c r="T38" s="53">
        <v>12.51</v>
      </c>
      <c r="U38" s="53">
        <v>13.33</v>
      </c>
      <c r="V38" s="53">
        <v>14</v>
      </c>
      <c r="W38" s="53">
        <v>16.59</v>
      </c>
      <c r="X38" s="53">
        <v>16.59</v>
      </c>
      <c r="Y38" s="53">
        <v>15.31</v>
      </c>
      <c r="Z38" s="53">
        <v>15.103211009174313</v>
      </c>
      <c r="AA38" s="53">
        <v>14</v>
      </c>
      <c r="AB38" s="53">
        <v>17.103684210526314</v>
      </c>
      <c r="AC38" s="53">
        <v>19.140789473684212</v>
      </c>
      <c r="AD38" s="53">
        <v>16.559999999999999</v>
      </c>
      <c r="AE38" s="53">
        <v>17.2</v>
      </c>
      <c r="AF38" s="53">
        <v>18.68</v>
      </c>
      <c r="AG38" s="53">
        <v>19.13</v>
      </c>
      <c r="AH38" s="53">
        <v>15.655172413793103</v>
      </c>
      <c r="AI38" s="53">
        <v>9.17</v>
      </c>
      <c r="AJ38" s="53">
        <v>15.96551724137931</v>
      </c>
      <c r="AK38" s="53">
        <v>14.105263157894736</v>
      </c>
      <c r="AL38" s="53">
        <v>14.105263157894736</v>
      </c>
      <c r="AM38" s="53">
        <v>14.918172157279489</v>
      </c>
      <c r="AN38" s="53">
        <v>14.404761904761905</v>
      </c>
      <c r="AO38" s="53">
        <v>14.824817518248175</v>
      </c>
      <c r="AP38" s="53">
        <v>15.026315789473685</v>
      </c>
      <c r="AQ38" s="53">
        <v>15.710569105691057</v>
      </c>
      <c r="AR38" s="53">
        <v>12.657342657342657</v>
      </c>
      <c r="AS38" s="53">
        <v>15.273781902552205</v>
      </c>
      <c r="AT38" s="53">
        <v>14.319172413793103</v>
      </c>
      <c r="AU38" s="53">
        <v>14.31</v>
      </c>
      <c r="AV38" s="53">
        <v>14.73</v>
      </c>
      <c r="AW38" s="53">
        <v>15.631560283687943</v>
      </c>
      <c r="AX38" s="53">
        <v>16.213186077643908</v>
      </c>
      <c r="AY38" s="53">
        <v>19.952127659574469</v>
      </c>
      <c r="AZ38" s="53">
        <v>13.673076923076922</v>
      </c>
      <c r="BA38" s="53">
        <v>16.839727151502718</v>
      </c>
      <c r="BB38" s="53">
        <v>17.128356435643564</v>
      </c>
      <c r="BC38" s="53">
        <v>16.888888888888889</v>
      </c>
      <c r="BD38" s="53">
        <v>17.007940229959409</v>
      </c>
      <c r="BE38" s="53">
        <v>16.847692307692309</v>
      </c>
      <c r="BF38" s="53">
        <v>16.84</v>
      </c>
      <c r="BG38" s="53">
        <v>12.682539682539682</v>
      </c>
      <c r="BH38" s="53">
        <v>17.297872340425531</v>
      </c>
      <c r="BI38" s="53">
        <v>17</v>
      </c>
      <c r="BJ38" s="53">
        <v>7</v>
      </c>
      <c r="BK38" s="53">
        <v>16.666666666666668</v>
      </c>
      <c r="BL38" s="53">
        <v>16.729187071498529</v>
      </c>
      <c r="BM38" s="53">
        <v>11.501114413075781</v>
      </c>
      <c r="BN38" s="53">
        <v>6.1212638770281806</v>
      </c>
      <c r="BO38" s="53">
        <v>4.1714497773379513</v>
      </c>
      <c r="BP38" s="53">
        <v>12.159762496547915</v>
      </c>
      <c r="BQ38" s="53">
        <v>12.566640222134074</v>
      </c>
      <c r="BR38" s="53">
        <v>11.098713508164275</v>
      </c>
      <c r="BS38" s="53">
        <v>17.095330739299612</v>
      </c>
      <c r="BT38" s="53">
        <v>15.52</v>
      </c>
      <c r="BU38" s="53">
        <v>18.359589041095891</v>
      </c>
      <c r="BV38" s="53">
        <v>9.5618992695117271</v>
      </c>
      <c r="BW38" s="53">
        <v>10.138600538254517</v>
      </c>
      <c r="BX38" s="53">
        <v>11.202718912435026</v>
      </c>
      <c r="BY38" s="53">
        <v>7.3888888888888893</v>
      </c>
      <c r="BZ38" s="53">
        <v>10.615384615384615</v>
      </c>
      <c r="CA38" s="53">
        <v>9</v>
      </c>
      <c r="CB38" s="53">
        <v>7.9050632911392409</v>
      </c>
      <c r="CC38" s="53">
        <v>14.5</v>
      </c>
      <c r="CD38" s="53">
        <v>11</v>
      </c>
      <c r="CE38" s="53">
        <v>16</v>
      </c>
      <c r="CF38" s="53">
        <v>8.7800015544846897</v>
      </c>
      <c r="CG38" s="53">
        <v>6.8804925832633641</v>
      </c>
      <c r="CH38" s="53">
        <v>10.088235294117647</v>
      </c>
      <c r="CI38" s="53">
        <v>8.7226890756302513</v>
      </c>
      <c r="CJ38" s="53">
        <v>7.6447761194029855</v>
      </c>
      <c r="CK38" s="53">
        <v>7.9402985074626864</v>
      </c>
      <c r="CL38" s="53" t="s">
        <v>197</v>
      </c>
      <c r="CM38" s="53">
        <v>3.0000000000000004</v>
      </c>
      <c r="CN38" s="53">
        <v>8.89</v>
      </c>
      <c r="CO38" s="53">
        <v>12</v>
      </c>
      <c r="CP38" s="53">
        <v>5.5723076923076924</v>
      </c>
      <c r="CQ38" s="53">
        <v>5.1794871794871797</v>
      </c>
      <c r="CR38" s="53">
        <v>6.9102564102564106</v>
      </c>
      <c r="CS38" s="53">
        <v>3</v>
      </c>
      <c r="CT38" s="53">
        <v>4.458333333333333</v>
      </c>
      <c r="CU38" s="53">
        <v>5.0262732919254658</v>
      </c>
      <c r="CV38" s="53">
        <v>4.9012345679012341</v>
      </c>
      <c r="CW38" s="53">
        <v>3.1999999999999997</v>
      </c>
      <c r="CX38" s="53">
        <v>6.9072727272727299</v>
      </c>
      <c r="CY38" s="53">
        <v>7.2474999999999996</v>
      </c>
      <c r="CZ38" s="53">
        <v>6.9072727272727299</v>
      </c>
      <c r="DA38" s="53">
        <v>6.3318840579710098</v>
      </c>
      <c r="DB38" s="53">
        <v>3</v>
      </c>
      <c r="DC38" s="53">
        <v>5.9393006993007003</v>
      </c>
      <c r="DD38" s="53">
        <v>5.7</v>
      </c>
      <c r="DE38" s="53" t="s">
        <v>197</v>
      </c>
      <c r="DF38" s="53">
        <v>4.25</v>
      </c>
      <c r="DG38" s="53">
        <v>2.8529411764705901</v>
      </c>
      <c r="DH38" s="53">
        <v>4.0697674418604697</v>
      </c>
      <c r="DI38" s="53">
        <v>3.5102040816326499</v>
      </c>
      <c r="DJ38" s="53">
        <v>4.12270803949224</v>
      </c>
      <c r="DK38" s="53">
        <v>4.6164772727272698</v>
      </c>
      <c r="DL38" s="53">
        <v>2.2333333333333298</v>
      </c>
      <c r="DM38" s="53">
        <v>2.9</v>
      </c>
      <c r="DN38" s="53">
        <v>5.2639830508474601</v>
      </c>
      <c r="DO38" s="53">
        <v>4.1750472589792098</v>
      </c>
      <c r="DP38" s="53">
        <v>5.81172413793103</v>
      </c>
      <c r="DQ38" s="53">
        <v>5.7305220883534096</v>
      </c>
      <c r="DR38" s="53">
        <v>5.7604081632653097</v>
      </c>
      <c r="DS38" s="53">
        <v>2.5071428571428598</v>
      </c>
      <c r="DT38" s="53">
        <v>2.5071428571428598</v>
      </c>
      <c r="DU38" s="53">
        <v>2.5071428571428598</v>
      </c>
      <c r="DV38" s="53">
        <v>2.5099999999999998</v>
      </c>
      <c r="DW38" s="53">
        <v>2.5071428571428598</v>
      </c>
      <c r="DX38" s="53">
        <v>1.9285714285714299</v>
      </c>
      <c r="DY38" s="53">
        <v>6.2830820770519296</v>
      </c>
      <c r="DZ38" s="53">
        <v>1.9198919891989199</v>
      </c>
      <c r="EA38" s="53">
        <v>1.9198919891989199</v>
      </c>
      <c r="EB38" s="53">
        <v>1.94492846888768</v>
      </c>
      <c r="EC38" s="53">
        <v>1.3091993813066201</v>
      </c>
      <c r="ED38" s="53">
        <v>1.3259804708235099</v>
      </c>
      <c r="EE38" s="53">
        <v>1.3237922705314</v>
      </c>
      <c r="EF38" s="53">
        <v>1.2975149287450101</v>
      </c>
      <c r="EG38" s="53">
        <v>1.14828072470136</v>
      </c>
      <c r="EH38" s="53">
        <v>1.01802376874773</v>
      </c>
      <c r="EI38" s="53">
        <v>1.0059933947505699</v>
      </c>
      <c r="EJ38" s="53">
        <v>1.38141776011325</v>
      </c>
      <c r="EK38" s="53">
        <v>1.3531595479949414</v>
      </c>
      <c r="EL38" s="53">
        <v>1.3580521016725353</v>
      </c>
      <c r="EM38" s="53">
        <v>1.3333240305317946</v>
      </c>
      <c r="EN38" s="53">
        <v>1.4717586548594619</v>
      </c>
      <c r="EO38" s="53">
        <v>1.460206619475799</v>
      </c>
      <c r="EP38" s="53">
        <v>1.4438554372170214</v>
      </c>
      <c r="EQ38" s="53">
        <v>1.4252024851185634</v>
      </c>
      <c r="ER38" s="53">
        <v>1.4017544433897415</v>
      </c>
      <c r="ES38" s="53">
        <v>1.730184660559565</v>
      </c>
      <c r="ET38" s="53">
        <v>11.700191404210862</v>
      </c>
      <c r="EU38" s="53">
        <v>11.774284121642514</v>
      </c>
      <c r="EV38" s="53">
        <v>3</v>
      </c>
      <c r="EW38" s="53">
        <v>2.9980604857806559</v>
      </c>
      <c r="EX38" s="53">
        <v>3</v>
      </c>
      <c r="EY38" s="53">
        <v>3</v>
      </c>
      <c r="EZ38" s="53">
        <v>3</v>
      </c>
      <c r="FA38" s="53">
        <v>3</v>
      </c>
      <c r="FB38" s="53">
        <v>3</v>
      </c>
      <c r="FC38" s="53">
        <v>3</v>
      </c>
      <c r="FD38" s="53">
        <v>3</v>
      </c>
      <c r="FE38" s="53">
        <v>3</v>
      </c>
      <c r="FF38" s="53">
        <v>3</v>
      </c>
      <c r="FG38" s="53" t="s">
        <v>197</v>
      </c>
      <c r="FH38" s="53" t="s">
        <v>197</v>
      </c>
      <c r="FI38" s="53">
        <v>3</v>
      </c>
      <c r="FJ38" s="53" t="s">
        <v>197</v>
      </c>
      <c r="FK38" s="53" t="s">
        <v>197</v>
      </c>
      <c r="FL38" s="53">
        <v>2.9999999999999996</v>
      </c>
      <c r="FM38" s="53">
        <v>3</v>
      </c>
      <c r="FN38" s="53">
        <v>3.0000000000000004</v>
      </c>
      <c r="FO38" s="53">
        <v>2.20245436643888</v>
      </c>
      <c r="FP38" s="53">
        <v>2.2034089411489099</v>
      </c>
      <c r="FQ38" s="53">
        <v>3</v>
      </c>
      <c r="FR38" s="53" t="s">
        <v>197</v>
      </c>
      <c r="FS38" s="53" t="s">
        <v>197</v>
      </c>
      <c r="FT38" s="53">
        <v>2.8499999999999996</v>
      </c>
      <c r="FU38" s="49">
        <v>3</v>
      </c>
      <c r="FV38" s="49">
        <v>3</v>
      </c>
      <c r="FW38" s="49" t="s">
        <v>197</v>
      </c>
      <c r="FX38" s="49" t="s">
        <v>197</v>
      </c>
      <c r="FY38" s="52">
        <v>3.01</v>
      </c>
      <c r="FZ38" s="49" t="s">
        <v>197</v>
      </c>
      <c r="GA38" s="49" t="s">
        <v>197</v>
      </c>
      <c r="GB38" s="53" t="s">
        <v>197</v>
      </c>
      <c r="GC38" s="49" t="s">
        <v>197</v>
      </c>
      <c r="GD38" s="48" t="s">
        <v>197</v>
      </c>
      <c r="GE38" s="53" t="s">
        <v>197</v>
      </c>
      <c r="GF38" s="53" t="s">
        <v>197</v>
      </c>
      <c r="GG38" s="52" t="s">
        <v>197</v>
      </c>
      <c r="GH38" s="52" t="s">
        <v>197</v>
      </c>
      <c r="GI38" s="12" t="s">
        <v>197</v>
      </c>
      <c r="GJ38" s="49" t="s">
        <v>197</v>
      </c>
      <c r="GK38" s="55"/>
      <c r="GL38" s="55"/>
      <c r="GM38" s="50" t="s">
        <v>197</v>
      </c>
      <c r="GN38" s="50">
        <v>6.01</v>
      </c>
      <c r="GO38" s="50">
        <v>6.01</v>
      </c>
      <c r="GP38" s="50" t="s">
        <v>197</v>
      </c>
      <c r="GQ38" s="12" t="s">
        <v>197</v>
      </c>
      <c r="GR38" s="49" t="s">
        <v>197</v>
      </c>
      <c r="GS38" s="50" t="s">
        <v>197</v>
      </c>
      <c r="GT38" s="50" t="s">
        <v>197</v>
      </c>
      <c r="GU38" s="49" t="s">
        <v>197</v>
      </c>
      <c r="GV38" s="49" t="s">
        <v>197</v>
      </c>
      <c r="GW38" s="49" t="s">
        <v>197</v>
      </c>
      <c r="GX38" s="49" t="s">
        <v>197</v>
      </c>
      <c r="GY38" s="49" t="s">
        <v>197</v>
      </c>
      <c r="GZ38" s="49" t="s">
        <v>197</v>
      </c>
      <c r="HA38" s="49" t="s">
        <v>197</v>
      </c>
      <c r="HB38" s="49" t="s">
        <v>197</v>
      </c>
      <c r="HC38" s="49" t="s">
        <v>197</v>
      </c>
      <c r="HD38" s="49" t="s">
        <v>197</v>
      </c>
      <c r="HE38" s="49" t="s">
        <v>197</v>
      </c>
      <c r="HF38" s="49" t="s">
        <v>197</v>
      </c>
      <c r="HG38" s="49" t="s">
        <v>197</v>
      </c>
      <c r="HH38" s="49" t="s">
        <v>197</v>
      </c>
      <c r="HI38" s="49" t="s">
        <v>197</v>
      </c>
      <c r="HJ38" s="49" t="s">
        <v>197</v>
      </c>
      <c r="HK38" s="49" t="s">
        <v>197</v>
      </c>
      <c r="HL38" s="49" t="s">
        <v>197</v>
      </c>
      <c r="HM38" s="49" t="s">
        <v>197</v>
      </c>
      <c r="HN38" s="49" t="s">
        <v>197</v>
      </c>
      <c r="HO38" s="49" t="s">
        <v>197</v>
      </c>
      <c r="HP38" s="49" t="s">
        <v>197</v>
      </c>
      <c r="HQ38" s="49">
        <v>4</v>
      </c>
      <c r="HR38" s="49">
        <v>4</v>
      </c>
      <c r="HS38" s="49">
        <v>4.25</v>
      </c>
      <c r="HT38" s="49" t="s">
        <v>197</v>
      </c>
      <c r="HU38" s="49" t="s">
        <v>197</v>
      </c>
      <c r="HV38" s="49" t="s">
        <v>197</v>
      </c>
      <c r="HW38" s="49" t="s">
        <v>197</v>
      </c>
      <c r="HX38" s="49" t="s">
        <v>197</v>
      </c>
      <c r="HY38" s="49" t="s">
        <v>197</v>
      </c>
      <c r="HZ38" s="49" t="s">
        <v>197</v>
      </c>
      <c r="IA38" s="49" t="s">
        <v>197</v>
      </c>
    </row>
    <row r="39" spans="1:235">
      <c r="A39" s="12" t="s">
        <v>266</v>
      </c>
      <c r="B39" s="34" t="s">
        <v>214</v>
      </c>
      <c r="C39" s="12" t="s">
        <v>266</v>
      </c>
      <c r="D39" s="53" t="s">
        <v>197</v>
      </c>
      <c r="E39" s="53">
        <v>14.05</v>
      </c>
      <c r="F39" s="53">
        <v>17.940000000000001</v>
      </c>
      <c r="G39" s="53" t="s">
        <v>197</v>
      </c>
      <c r="H39" s="53">
        <v>17.760000000000002</v>
      </c>
      <c r="I39" s="53">
        <v>16.559999999999999</v>
      </c>
      <c r="J39" s="53">
        <v>17.760000000000002</v>
      </c>
      <c r="K39" s="53">
        <v>14.99</v>
      </c>
      <c r="L39" s="53">
        <v>14.99</v>
      </c>
      <c r="M39" s="53">
        <v>16.88</v>
      </c>
      <c r="N39" s="53">
        <v>20.56</v>
      </c>
      <c r="O39" s="53">
        <v>18.79</v>
      </c>
      <c r="P39" s="53">
        <v>21.92</v>
      </c>
      <c r="Q39" s="53">
        <v>19.850000000000001</v>
      </c>
      <c r="R39" s="53" t="s">
        <v>238</v>
      </c>
      <c r="S39" s="53">
        <v>10</v>
      </c>
      <c r="T39" s="53">
        <v>12.87</v>
      </c>
      <c r="U39" s="53">
        <v>12.82</v>
      </c>
      <c r="V39" s="53">
        <v>12.75</v>
      </c>
      <c r="W39" s="53">
        <v>16.309999999999999</v>
      </c>
      <c r="X39" s="53">
        <v>16.29</v>
      </c>
      <c r="Y39" s="53">
        <v>16.29</v>
      </c>
      <c r="Z39" s="53">
        <v>16.805970149253731</v>
      </c>
      <c r="AA39" s="53">
        <v>16.79</v>
      </c>
      <c r="AB39" s="53">
        <v>14</v>
      </c>
      <c r="AC39" s="53">
        <v>14.260869565217391</v>
      </c>
      <c r="AD39" s="53">
        <v>14.260869565217391</v>
      </c>
      <c r="AE39" s="53">
        <v>16.752950926226841</v>
      </c>
      <c r="AF39" s="53">
        <v>16.551392665842606</v>
      </c>
      <c r="AG39" s="53">
        <v>16.37</v>
      </c>
      <c r="AH39" s="53">
        <v>16.646034482758619</v>
      </c>
      <c r="AI39" s="53">
        <v>17.002367209761086</v>
      </c>
      <c r="AJ39" s="53">
        <v>17.013648244958926</v>
      </c>
      <c r="AK39" s="53">
        <v>18.142857142857146</v>
      </c>
      <c r="AL39" s="53">
        <v>19</v>
      </c>
      <c r="AM39" s="53">
        <v>14.613658536585366</v>
      </c>
      <c r="AN39" s="53">
        <v>16.697959183673468</v>
      </c>
      <c r="AO39" s="53">
        <v>15.21510989010989</v>
      </c>
      <c r="AP39" s="53">
        <v>14.99764705882353</v>
      </c>
      <c r="AQ39" s="53">
        <v>15.04982206405694</v>
      </c>
      <c r="AR39" s="53">
        <v>15.743402084719451</v>
      </c>
      <c r="AS39" s="53">
        <v>15.249370818631355</v>
      </c>
      <c r="AT39" s="53">
        <v>15.593548387096774</v>
      </c>
      <c r="AU39" s="53">
        <v>15.52</v>
      </c>
      <c r="AV39" s="53">
        <v>14.37</v>
      </c>
      <c r="AW39" s="53">
        <v>15.365429234338746</v>
      </c>
      <c r="AX39" s="53">
        <v>16.475687987884371</v>
      </c>
      <c r="AY39" s="53">
        <v>17.291439688715954</v>
      </c>
      <c r="AZ39" s="53">
        <v>18.203125</v>
      </c>
      <c r="BA39" s="53">
        <v>17.216713271671328</v>
      </c>
      <c r="BB39" s="53">
        <v>16.468379080118694</v>
      </c>
      <c r="BC39" s="53">
        <v>16.225168499467898</v>
      </c>
      <c r="BD39" s="53">
        <v>15.49462715727776</v>
      </c>
      <c r="BE39" s="53">
        <v>15.281445138269403</v>
      </c>
      <c r="BF39" s="53">
        <v>15.97</v>
      </c>
      <c r="BG39" s="53">
        <v>15.281445138269403</v>
      </c>
      <c r="BH39" s="53">
        <v>13.369565217391303</v>
      </c>
      <c r="BI39" s="53">
        <v>24.1</v>
      </c>
      <c r="BJ39" s="53">
        <v>14.814814814814815</v>
      </c>
      <c r="BK39" s="53">
        <v>16.93401567944251</v>
      </c>
      <c r="BL39" s="53">
        <v>17.718309859154928</v>
      </c>
      <c r="BM39" s="53">
        <v>8.6666666666666661</v>
      </c>
      <c r="BN39" s="53">
        <v>10.822429906542055</v>
      </c>
      <c r="BO39" s="53">
        <v>12.689318783068783</v>
      </c>
      <c r="BP39" s="53">
        <v>11.494512195121951</v>
      </c>
      <c r="BQ39" s="53">
        <v>12.347826086956522</v>
      </c>
      <c r="BR39" s="53">
        <v>13.923433874709977</v>
      </c>
      <c r="BS39" s="53">
        <v>12.271809405721372</v>
      </c>
      <c r="BT39" s="53">
        <v>12.271809405721372</v>
      </c>
      <c r="BU39" s="53">
        <v>12.136363636363637</v>
      </c>
      <c r="BV39" s="53">
        <v>12.75</v>
      </c>
      <c r="BW39" s="53">
        <v>13.125939849624061</v>
      </c>
      <c r="BX39" s="53">
        <v>11.001216545012165</v>
      </c>
      <c r="BY39" s="53">
        <v>10.239705732093594</v>
      </c>
      <c r="BZ39" s="53">
        <v>9.6300287356321839</v>
      </c>
      <c r="CA39" s="53">
        <v>8.744082932617248</v>
      </c>
      <c r="CB39" s="53">
        <v>8.449064011778729</v>
      </c>
      <c r="CC39" s="53">
        <v>9.4067862266857976</v>
      </c>
      <c r="CD39" s="53">
        <v>8.085259298972657</v>
      </c>
      <c r="CE39" s="53">
        <v>14.164578111946533</v>
      </c>
      <c r="CF39" s="53">
        <v>11.558170222124478</v>
      </c>
      <c r="CG39" s="53">
        <v>11.998377501352083</v>
      </c>
      <c r="CH39" s="53">
        <v>8.0591674550614947</v>
      </c>
      <c r="CI39" s="53">
        <v>8.3791646122420236</v>
      </c>
      <c r="CJ39" s="53">
        <v>8.8182963286419671</v>
      </c>
      <c r="CK39" s="53">
        <v>7.4582338902147969</v>
      </c>
      <c r="CL39" s="53">
        <v>8.1754443778709796</v>
      </c>
      <c r="CM39" s="53">
        <v>8.0720943503899569</v>
      </c>
      <c r="CN39" s="53">
        <v>8.41</v>
      </c>
      <c r="CO39" s="53">
        <v>7.7345309381237524</v>
      </c>
      <c r="CP39" s="53">
        <v>7.5817319690541556</v>
      </c>
      <c r="CQ39" s="53">
        <v>7.9147419446820644</v>
      </c>
      <c r="CR39" s="53">
        <v>7.9141716566866265</v>
      </c>
      <c r="CS39" s="53">
        <v>8.186674160109904</v>
      </c>
      <c r="CT39" s="53">
        <v>8.2285714285714278</v>
      </c>
      <c r="CU39" s="53">
        <v>6.4848686398403723</v>
      </c>
      <c r="CV39" s="53">
        <v>7.8534031413612562</v>
      </c>
      <c r="CW39" s="53">
        <v>7.6248950461796809</v>
      </c>
      <c r="CX39" s="53">
        <v>7.0191977524582496</v>
      </c>
      <c r="CY39" s="53">
        <v>6.9289617486338804</v>
      </c>
      <c r="CZ39" s="53">
        <v>7.0191977524582496</v>
      </c>
      <c r="DA39" s="53">
        <v>7.9223858248065904</v>
      </c>
      <c r="DB39" s="53">
        <v>6.9081977279705296</v>
      </c>
      <c r="DC39" s="53">
        <v>8.4802128367143297</v>
      </c>
      <c r="DD39" s="53">
        <v>12.852508110806101</v>
      </c>
      <c r="DE39" s="53">
        <v>12.852508110806101</v>
      </c>
      <c r="DF39" s="53">
        <v>8.8687918457080102</v>
      </c>
      <c r="DG39" s="53">
        <v>12.636538873420401</v>
      </c>
      <c r="DH39" s="53">
        <v>13.188837500979901</v>
      </c>
      <c r="DI39" s="53">
        <v>11.577251297965001</v>
      </c>
      <c r="DJ39" s="53">
        <v>7.0115860966839803</v>
      </c>
      <c r="DK39" s="53">
        <v>12.611761285163899</v>
      </c>
      <c r="DL39" s="53">
        <v>12.6210211046876</v>
      </c>
      <c r="DM39" s="53">
        <v>13.0108983039917</v>
      </c>
      <c r="DN39" s="53">
        <v>12.400265889451299</v>
      </c>
      <c r="DO39" s="53">
        <v>12.400265889451299</v>
      </c>
      <c r="DP39" s="53">
        <v>11.922090098689701</v>
      </c>
      <c r="DQ39" s="53">
        <v>12.061607330897001</v>
      </c>
      <c r="DR39" s="53">
        <v>8.7531030661248597</v>
      </c>
      <c r="DS39" s="53">
        <v>10.1853836451545</v>
      </c>
      <c r="DT39" s="53">
        <v>8.23846614739365</v>
      </c>
      <c r="DU39" s="53">
        <v>8.3882564409826301</v>
      </c>
      <c r="DV39" s="53">
        <v>8.52</v>
      </c>
      <c r="DW39" s="53">
        <v>10.449213875717501</v>
      </c>
      <c r="DX39" s="53">
        <v>5.7894736842105301</v>
      </c>
      <c r="DY39" s="53">
        <v>8.2140193885160304</v>
      </c>
      <c r="DZ39" s="53">
        <v>7.97518830305716</v>
      </c>
      <c r="EA39" s="53">
        <v>7.9148845166809201</v>
      </c>
      <c r="EB39" s="53">
        <v>7.2942892232115399</v>
      </c>
      <c r="EC39" s="53">
        <v>7.4738415545590398</v>
      </c>
      <c r="ED39" s="53">
        <v>6.9755854509217698</v>
      </c>
      <c r="EE39" s="53">
        <v>10.232093835787399</v>
      </c>
      <c r="EF39" s="53">
        <v>10.232093835787399</v>
      </c>
      <c r="EG39" s="53">
        <v>18.867924528301899</v>
      </c>
      <c r="EH39" s="53">
        <v>18.867924528301899</v>
      </c>
      <c r="EI39" s="53">
        <v>18.867924528301899</v>
      </c>
      <c r="EJ39" s="53">
        <v>18.867924528301899</v>
      </c>
      <c r="EK39" s="53">
        <v>13.402747009304401</v>
      </c>
      <c r="EL39" s="53">
        <v>8.9498806682577605</v>
      </c>
      <c r="EM39" s="53">
        <v>7.8</v>
      </c>
      <c r="EN39" s="53">
        <v>7.53</v>
      </c>
      <c r="EO39" s="53">
        <v>6.81</v>
      </c>
      <c r="EP39" s="53">
        <v>5.9</v>
      </c>
      <c r="EQ39" s="53">
        <v>17.424312635155999</v>
      </c>
      <c r="ER39" s="53">
        <v>17.424312635155999</v>
      </c>
      <c r="ES39" s="53">
        <v>20.622394610237599</v>
      </c>
      <c r="ET39" s="53">
        <v>20.622394610237599</v>
      </c>
      <c r="EU39" s="53">
        <v>20.622394610237599</v>
      </c>
      <c r="EV39" s="53">
        <v>20.622394610237599</v>
      </c>
      <c r="EW39" s="53">
        <v>20.622394610237599</v>
      </c>
      <c r="EX39" s="53">
        <v>20.62</v>
      </c>
      <c r="EY39" s="53">
        <v>20.62</v>
      </c>
      <c r="EZ39" s="53">
        <v>20.62</v>
      </c>
      <c r="FA39" s="53">
        <v>20.62</v>
      </c>
      <c r="FB39" s="53" t="s">
        <v>197</v>
      </c>
      <c r="FC39" s="53" t="s">
        <v>197</v>
      </c>
      <c r="FD39" s="53" t="s">
        <v>197</v>
      </c>
      <c r="FE39" s="53" t="s">
        <v>197</v>
      </c>
      <c r="FF39" s="53" t="s">
        <v>197</v>
      </c>
      <c r="FG39" s="53" t="s">
        <v>197</v>
      </c>
      <c r="FH39" s="53" t="s">
        <v>197</v>
      </c>
      <c r="FI39" s="53" t="s">
        <v>197</v>
      </c>
      <c r="FJ39" s="53" t="s">
        <v>197</v>
      </c>
      <c r="FK39" s="53" t="s">
        <v>197</v>
      </c>
      <c r="FL39" s="53" t="s">
        <v>197</v>
      </c>
      <c r="FM39" s="53" t="s">
        <v>197</v>
      </c>
      <c r="FN39" s="53" t="s">
        <v>197</v>
      </c>
      <c r="FO39" s="53" t="s">
        <v>197</v>
      </c>
      <c r="FP39" s="53" t="s">
        <v>197</v>
      </c>
      <c r="FQ39" s="53" t="s">
        <v>197</v>
      </c>
      <c r="FR39" s="53" t="s">
        <v>197</v>
      </c>
      <c r="FS39" s="53" t="s">
        <v>197</v>
      </c>
      <c r="FT39" s="53" t="s">
        <v>197</v>
      </c>
      <c r="FU39" s="53" t="s">
        <v>197</v>
      </c>
      <c r="FV39" s="53" t="s">
        <v>197</v>
      </c>
      <c r="FW39" s="53" t="s">
        <v>197</v>
      </c>
      <c r="FX39" s="53" t="s">
        <v>197</v>
      </c>
      <c r="FY39" s="52" t="s">
        <v>197</v>
      </c>
      <c r="FZ39" s="52" t="s">
        <v>197</v>
      </c>
      <c r="GA39" s="53" t="s">
        <v>197</v>
      </c>
      <c r="GB39" s="53" t="s">
        <v>197</v>
      </c>
      <c r="GC39" s="46" t="s">
        <v>197</v>
      </c>
      <c r="GD39" s="47"/>
      <c r="GE39" s="46" t="s">
        <v>197</v>
      </c>
      <c r="GF39" s="46" t="s">
        <v>197</v>
      </c>
      <c r="GG39" s="52" t="s">
        <v>197</v>
      </c>
      <c r="GH39" s="52" t="s">
        <v>197</v>
      </c>
      <c r="GI39" s="52" t="s">
        <v>197</v>
      </c>
      <c r="GJ39" s="52" t="s">
        <v>197</v>
      </c>
      <c r="GK39" s="52"/>
      <c r="GL39" s="52"/>
      <c r="GM39" s="50" t="s">
        <v>197</v>
      </c>
      <c r="GN39" s="50" t="s">
        <v>197</v>
      </c>
      <c r="GO39" s="50" t="s">
        <v>197</v>
      </c>
      <c r="GP39" s="50" t="s">
        <v>197</v>
      </c>
      <c r="GQ39" s="50" t="s">
        <v>197</v>
      </c>
      <c r="GR39" s="50" t="s">
        <v>197</v>
      </c>
      <c r="GS39" s="50" t="s">
        <v>197</v>
      </c>
      <c r="GT39" s="50" t="s">
        <v>197</v>
      </c>
      <c r="GU39" s="50" t="s">
        <v>197</v>
      </c>
      <c r="GV39" s="50" t="s">
        <v>197</v>
      </c>
      <c r="GW39" s="50" t="s">
        <v>197</v>
      </c>
      <c r="GX39" s="50" t="s">
        <v>197</v>
      </c>
      <c r="GY39" s="50" t="s">
        <v>197</v>
      </c>
      <c r="GZ39" s="50" t="s">
        <v>197</v>
      </c>
      <c r="HA39" s="50" t="s">
        <v>197</v>
      </c>
      <c r="HB39" s="50" t="s">
        <v>197</v>
      </c>
      <c r="HC39" s="50" t="s">
        <v>197</v>
      </c>
      <c r="HD39" s="50" t="s">
        <v>197</v>
      </c>
      <c r="HE39" s="50" t="s">
        <v>197</v>
      </c>
      <c r="HF39" s="50" t="s">
        <v>197</v>
      </c>
      <c r="HG39" s="50" t="s">
        <v>197</v>
      </c>
      <c r="HH39" s="50" t="s">
        <v>197</v>
      </c>
      <c r="HI39" s="50" t="s">
        <v>197</v>
      </c>
      <c r="HJ39" s="50" t="s">
        <v>197</v>
      </c>
      <c r="HK39" s="50" t="s">
        <v>197</v>
      </c>
      <c r="HL39" s="50" t="s">
        <v>197</v>
      </c>
      <c r="HM39" s="50" t="s">
        <v>197</v>
      </c>
      <c r="HN39" s="50" t="s">
        <v>197</v>
      </c>
      <c r="HO39" s="50" t="s">
        <v>197</v>
      </c>
      <c r="HP39" s="50">
        <v>8.1</v>
      </c>
      <c r="HQ39" s="50">
        <v>8.1</v>
      </c>
      <c r="HR39" s="50">
        <v>7.125</v>
      </c>
      <c r="HS39" s="50">
        <v>6.15</v>
      </c>
      <c r="HT39" s="50">
        <v>6.15</v>
      </c>
      <c r="HU39" s="50">
        <v>7</v>
      </c>
      <c r="HV39" s="50">
        <v>7</v>
      </c>
      <c r="HW39" s="50">
        <v>7</v>
      </c>
      <c r="HX39" s="50" t="s">
        <v>197</v>
      </c>
      <c r="HY39" s="50" t="s">
        <v>197</v>
      </c>
      <c r="HZ39" s="50" t="s">
        <v>197</v>
      </c>
      <c r="IA39" s="50" t="s">
        <v>197</v>
      </c>
    </row>
    <row r="40" spans="1:235">
      <c r="A40" s="12" t="s">
        <v>267</v>
      </c>
      <c r="B40" s="34" t="s">
        <v>215</v>
      </c>
      <c r="C40" s="12" t="s">
        <v>267</v>
      </c>
      <c r="D40" s="53">
        <v>8</v>
      </c>
      <c r="E40" s="53">
        <v>11.99</v>
      </c>
      <c r="F40" s="53">
        <v>11.99</v>
      </c>
      <c r="G40" s="53">
        <v>11</v>
      </c>
      <c r="H40" s="53">
        <v>11.01</v>
      </c>
      <c r="I40" s="53">
        <v>11.83</v>
      </c>
      <c r="J40" s="53">
        <v>14.2</v>
      </c>
      <c r="K40" s="53">
        <v>10.43</v>
      </c>
      <c r="L40" s="53">
        <v>10.43</v>
      </c>
      <c r="M40" s="53">
        <v>12</v>
      </c>
      <c r="N40" s="53">
        <v>12</v>
      </c>
      <c r="O40" s="53" t="s">
        <v>238</v>
      </c>
      <c r="P40" s="53" t="s">
        <v>238</v>
      </c>
      <c r="Q40" s="53" t="s">
        <v>238</v>
      </c>
      <c r="R40" s="53" t="s">
        <v>238</v>
      </c>
      <c r="S40" s="53">
        <v>15</v>
      </c>
      <c r="T40" s="53">
        <v>15</v>
      </c>
      <c r="U40" s="53">
        <v>15</v>
      </c>
      <c r="V40" s="53">
        <v>15</v>
      </c>
      <c r="W40" s="53">
        <v>15.35</v>
      </c>
      <c r="X40" s="53">
        <v>16</v>
      </c>
      <c r="Y40" s="53">
        <v>16</v>
      </c>
      <c r="Z40" s="53">
        <v>12.55493998153278</v>
      </c>
      <c r="AA40" s="53">
        <v>13.78966009711511</v>
      </c>
      <c r="AB40" s="53">
        <v>15.825190562613431</v>
      </c>
      <c r="AC40" s="53">
        <v>15.804959621502567</v>
      </c>
      <c r="AD40" s="53">
        <v>15.73</v>
      </c>
      <c r="AE40" s="53">
        <v>15</v>
      </c>
      <c r="AF40" s="53">
        <v>15.25</v>
      </c>
      <c r="AG40" s="53">
        <v>17.63</v>
      </c>
      <c r="AH40" s="53">
        <v>17.274395604395604</v>
      </c>
      <c r="AI40" s="53">
        <v>16.412702702702703</v>
      </c>
      <c r="AJ40" s="53">
        <v>16.953947499950019</v>
      </c>
      <c r="AK40" s="53">
        <v>17.558334738312581</v>
      </c>
      <c r="AL40" s="53">
        <v>17.448369651159112</v>
      </c>
      <c r="AM40" s="53">
        <v>16.330333979628062</v>
      </c>
      <c r="AN40" s="53">
        <v>15.46788537549407</v>
      </c>
      <c r="AO40" s="53">
        <v>14.791975308641975</v>
      </c>
      <c r="AP40" s="53">
        <v>15.328855721393035</v>
      </c>
      <c r="AQ40" s="53">
        <v>16.029761904761905</v>
      </c>
      <c r="AR40" s="53">
        <v>16.384707446808509</v>
      </c>
      <c r="AS40" s="53">
        <v>15.78813432495917</v>
      </c>
      <c r="AT40" s="53">
        <v>15.961097321587904</v>
      </c>
      <c r="AU40" s="53">
        <v>16.14</v>
      </c>
      <c r="AV40" s="53">
        <v>16.12</v>
      </c>
      <c r="AW40" s="53">
        <v>16.384193548387096</v>
      </c>
      <c r="AX40" s="53">
        <v>16.282057564072524</v>
      </c>
      <c r="AY40" s="53">
        <v>16.657772020725389</v>
      </c>
      <c r="AZ40" s="53">
        <v>15.697297297297297</v>
      </c>
      <c r="BA40" s="53">
        <v>16.137777777777778</v>
      </c>
      <c r="BB40" s="53">
        <v>15.901917808219178</v>
      </c>
      <c r="BC40" s="53">
        <v>16.121444201312912</v>
      </c>
      <c r="BD40" s="53">
        <v>19.960921276194071</v>
      </c>
      <c r="BE40" s="53">
        <v>16.104367238733083</v>
      </c>
      <c r="BF40" s="53">
        <v>15.729200000000001</v>
      </c>
      <c r="BG40" s="53">
        <v>15.783271418176248</v>
      </c>
      <c r="BH40" s="53">
        <v>14.972196515920395</v>
      </c>
      <c r="BI40" s="53">
        <v>17.375009375234381</v>
      </c>
      <c r="BJ40" s="53">
        <v>15.61457322033009</v>
      </c>
      <c r="BK40" s="53">
        <v>19.782984786037755</v>
      </c>
      <c r="BL40" s="53">
        <v>18.012222222222221</v>
      </c>
      <c r="BM40" s="53">
        <v>13.768692652461896</v>
      </c>
      <c r="BN40" s="53">
        <v>14.391645353793692</v>
      </c>
      <c r="BO40" s="53">
        <v>14.530641543292957</v>
      </c>
      <c r="BP40" s="53">
        <v>14.815445154943433</v>
      </c>
      <c r="BQ40" s="53">
        <v>13.458757189761297</v>
      </c>
      <c r="BR40" s="53">
        <v>12.551264809478067</v>
      </c>
      <c r="BS40" s="53">
        <v>12.303576178513374</v>
      </c>
      <c r="BT40" s="53">
        <v>12.45</v>
      </c>
      <c r="BU40" s="53">
        <v>12.713923026918568</v>
      </c>
      <c r="BV40" s="53">
        <v>13.780102723152256</v>
      </c>
      <c r="BW40" s="53">
        <v>12.565980559373395</v>
      </c>
      <c r="BX40" s="53">
        <v>12.628037763540053</v>
      </c>
      <c r="BY40" s="53">
        <v>12.016286192869106</v>
      </c>
      <c r="BZ40" s="53">
        <v>12.426001626457035</v>
      </c>
      <c r="CA40" s="53">
        <v>12.0547037658911</v>
      </c>
      <c r="CB40" s="53">
        <v>11.620739566825145</v>
      </c>
      <c r="CC40" s="53">
        <v>9.7754299754299758</v>
      </c>
      <c r="CD40" s="53">
        <v>11.047508690614137</v>
      </c>
      <c r="CE40" s="53">
        <v>11.206372194062274</v>
      </c>
      <c r="CF40" s="53">
        <v>9.0500000000000007</v>
      </c>
      <c r="CG40" s="53">
        <v>8.7073684210526316</v>
      </c>
      <c r="CH40" s="53">
        <v>8.5312169312169317</v>
      </c>
      <c r="CI40" s="53">
        <v>10.468385449904275</v>
      </c>
      <c r="CJ40" s="53">
        <v>10.19797707412885</v>
      </c>
      <c r="CK40" s="53">
        <v>11.416924870897885</v>
      </c>
      <c r="CL40" s="53">
        <v>8.7061390212213077</v>
      </c>
      <c r="CM40" s="53">
        <v>9.7185265698778256</v>
      </c>
      <c r="CN40" s="53">
        <v>9.6999999999999993</v>
      </c>
      <c r="CO40" s="53">
        <v>8.3350000000000009</v>
      </c>
      <c r="CP40" s="53">
        <v>10.316548672566372</v>
      </c>
      <c r="CQ40" s="53">
        <v>11.090568181818181</v>
      </c>
      <c r="CR40" s="53">
        <v>11.276144578313254</v>
      </c>
      <c r="CS40" s="53">
        <v>6.4444444444444446</v>
      </c>
      <c r="CT40" s="53">
        <v>6.9795918367346941</v>
      </c>
      <c r="CU40" s="53">
        <v>5.6470588235294121</v>
      </c>
      <c r="CV40" s="53">
        <v>8.6315789473684212</v>
      </c>
      <c r="CW40" s="53">
        <v>9.5724259387382862</v>
      </c>
      <c r="CX40" s="53">
        <v>10.0489260143198</v>
      </c>
      <c r="CY40" s="53">
        <v>10.921901528013599</v>
      </c>
      <c r="CZ40" s="53">
        <v>10.0489260143198</v>
      </c>
      <c r="DA40" s="53">
        <v>9.4864864864864895</v>
      </c>
      <c r="DB40" s="53">
        <v>9.4880952380952408</v>
      </c>
      <c r="DC40" s="53">
        <v>10.6666666666667</v>
      </c>
      <c r="DD40" s="53">
        <v>10.714285714285699</v>
      </c>
      <c r="DE40" s="53">
        <v>10.714285714285699</v>
      </c>
      <c r="DF40" s="53">
        <v>10.2516543402102</v>
      </c>
      <c r="DG40" s="53">
        <v>11.545454545454501</v>
      </c>
      <c r="DH40" s="53">
        <v>9.5</v>
      </c>
      <c r="DI40" s="53">
        <v>6.71428571428571</v>
      </c>
      <c r="DJ40" s="53">
        <v>9.9920349761526204</v>
      </c>
      <c r="DK40" s="53">
        <v>8.8000000000000007</v>
      </c>
      <c r="DL40" s="53">
        <v>11.4444444444444</v>
      </c>
      <c r="DM40" s="53">
        <v>8</v>
      </c>
      <c r="DN40" s="53">
        <v>9.125</v>
      </c>
      <c r="DO40" s="53">
        <v>9.125</v>
      </c>
      <c r="DP40" s="53">
        <v>6.8571428571428603</v>
      </c>
      <c r="DQ40" s="53">
        <v>8.56</v>
      </c>
      <c r="DR40" s="53">
        <v>9.2319999999999993</v>
      </c>
      <c r="DS40" s="53">
        <v>9.2588799999999996</v>
      </c>
      <c r="DT40" s="53">
        <v>8.4460714285714307</v>
      </c>
      <c r="DU40" s="53">
        <v>8.1576106194690308</v>
      </c>
      <c r="DV40" s="53">
        <v>8.43</v>
      </c>
      <c r="DW40" s="53">
        <v>8.1537492123503501</v>
      </c>
      <c r="DX40" s="53">
        <v>8.3894795747062094</v>
      </c>
      <c r="DY40" s="53">
        <v>7.7422072451558597</v>
      </c>
      <c r="DZ40" s="53">
        <v>7.7422072451558597</v>
      </c>
      <c r="EA40" s="53">
        <v>10.393700787401601</v>
      </c>
      <c r="EB40" s="53">
        <v>16</v>
      </c>
      <c r="EC40" s="53">
        <v>9.25</v>
      </c>
      <c r="ED40" s="53">
        <v>10.63</v>
      </c>
      <c r="EE40" s="53">
        <v>10.63</v>
      </c>
      <c r="EF40" s="53">
        <v>12</v>
      </c>
      <c r="EG40" s="53">
        <v>12.69646333297</v>
      </c>
      <c r="EH40" s="53">
        <v>12.69646333297</v>
      </c>
      <c r="EI40" s="53">
        <v>7.6076028398491102</v>
      </c>
      <c r="EJ40" s="53">
        <v>8.8280656789851708</v>
      </c>
      <c r="EK40" s="53">
        <v>8.6909162845756498</v>
      </c>
      <c r="EL40" s="53">
        <v>8.6909162845756498</v>
      </c>
      <c r="EM40" s="53">
        <v>8.6909162845756498</v>
      </c>
      <c r="EN40" s="53">
        <v>7.6076028398491102</v>
      </c>
      <c r="EO40" s="53">
        <v>2.5721645437585794</v>
      </c>
      <c r="EP40" s="53">
        <v>13.9831391980258</v>
      </c>
      <c r="EQ40" s="53">
        <v>13.983139198025802</v>
      </c>
      <c r="ER40" s="53">
        <v>13.594071627354301</v>
      </c>
      <c r="ES40" s="53">
        <v>16.924696674562199</v>
      </c>
      <c r="ET40" s="53">
        <v>16.814524613794099</v>
      </c>
      <c r="EU40" s="53">
        <v>17.6326211458213</v>
      </c>
      <c r="EV40" s="53">
        <v>18.953092794599399</v>
      </c>
      <c r="EW40" s="53">
        <v>17.5066537769105</v>
      </c>
      <c r="EX40" s="53">
        <v>17.262429674247102</v>
      </c>
      <c r="EY40" s="53">
        <v>11.820277441739599</v>
      </c>
      <c r="EZ40" s="53">
        <v>11.302742718394299</v>
      </c>
      <c r="FA40" s="53">
        <v>11.302742718394299</v>
      </c>
      <c r="FB40" s="53">
        <v>11.2545159854935</v>
      </c>
      <c r="FC40" s="53">
        <v>4.7428009002112397</v>
      </c>
      <c r="FD40" s="53">
        <v>2.5722126262739597</v>
      </c>
      <c r="FE40" s="53">
        <v>16</v>
      </c>
      <c r="FF40" s="53" t="s">
        <v>197</v>
      </c>
      <c r="FG40" s="53" t="s">
        <v>197</v>
      </c>
      <c r="FH40" s="53" t="s">
        <v>197</v>
      </c>
      <c r="FI40" s="53"/>
      <c r="FJ40" s="53" t="s">
        <v>197</v>
      </c>
      <c r="FK40" s="53" t="s">
        <v>197</v>
      </c>
      <c r="FL40" s="53" t="s">
        <v>197</v>
      </c>
      <c r="FM40" s="53" t="s">
        <v>197</v>
      </c>
      <c r="FN40" s="53" t="s">
        <v>197</v>
      </c>
      <c r="FO40" s="53" t="s">
        <v>197</v>
      </c>
      <c r="FP40" s="53" t="s">
        <v>197</v>
      </c>
      <c r="FQ40" s="53" t="s">
        <v>197</v>
      </c>
      <c r="FR40" s="53" t="s">
        <v>197</v>
      </c>
      <c r="FS40" s="53" t="s">
        <v>197</v>
      </c>
      <c r="FT40" s="53" t="s">
        <v>197</v>
      </c>
      <c r="FU40" s="53" t="s">
        <v>197</v>
      </c>
      <c r="FV40" s="49" t="s">
        <v>197</v>
      </c>
      <c r="FW40" s="49" t="s">
        <v>197</v>
      </c>
      <c r="FX40" s="49" t="s">
        <v>197</v>
      </c>
      <c r="FY40" s="52" t="s">
        <v>197</v>
      </c>
      <c r="FZ40" s="52" t="s">
        <v>197</v>
      </c>
      <c r="GA40" s="49" t="s">
        <v>197</v>
      </c>
      <c r="GB40" s="53" t="s">
        <v>197</v>
      </c>
      <c r="GC40" s="53" t="s">
        <v>197</v>
      </c>
      <c r="GD40" s="48"/>
      <c r="GE40" s="53" t="s">
        <v>197</v>
      </c>
      <c r="GF40" s="53" t="s">
        <v>197</v>
      </c>
      <c r="GG40" s="52">
        <v>11</v>
      </c>
      <c r="GH40" s="52">
        <v>11</v>
      </c>
      <c r="GI40" s="52">
        <v>11</v>
      </c>
      <c r="GJ40" s="49">
        <v>11</v>
      </c>
      <c r="GK40" s="52">
        <v>11</v>
      </c>
      <c r="GL40" s="52">
        <v>11</v>
      </c>
      <c r="GM40" s="50" t="s">
        <v>197</v>
      </c>
      <c r="GN40" s="50" t="s">
        <v>197</v>
      </c>
      <c r="GO40" s="50" t="s">
        <v>197</v>
      </c>
      <c r="GP40" s="50" t="s">
        <v>197</v>
      </c>
      <c r="GQ40" s="50" t="s">
        <v>197</v>
      </c>
      <c r="GR40" s="49" t="s">
        <v>197</v>
      </c>
      <c r="GS40" s="50" t="s">
        <v>197</v>
      </c>
      <c r="GT40" s="50" t="s">
        <v>197</v>
      </c>
      <c r="GU40" s="50" t="s">
        <v>197</v>
      </c>
      <c r="GV40" s="50" t="s">
        <v>197</v>
      </c>
      <c r="GW40" s="50" t="s">
        <v>197</v>
      </c>
      <c r="GX40" s="50" t="s">
        <v>197</v>
      </c>
      <c r="GY40" s="50" t="s">
        <v>197</v>
      </c>
      <c r="GZ40" s="50" t="s">
        <v>197</v>
      </c>
      <c r="HA40" s="50" t="s">
        <v>197</v>
      </c>
      <c r="HB40" s="50" t="s">
        <v>197</v>
      </c>
      <c r="HC40" s="50" t="s">
        <v>197</v>
      </c>
      <c r="HD40" s="49" t="s">
        <v>197</v>
      </c>
      <c r="HE40" s="49" t="s">
        <v>197</v>
      </c>
      <c r="HF40" s="49" t="s">
        <v>197</v>
      </c>
      <c r="HG40" s="49" t="s">
        <v>197</v>
      </c>
      <c r="HH40" s="49" t="s">
        <v>197</v>
      </c>
      <c r="HI40" s="49" t="s">
        <v>197</v>
      </c>
      <c r="HJ40" s="49" t="s">
        <v>197</v>
      </c>
      <c r="HK40" s="49" t="s">
        <v>197</v>
      </c>
      <c r="HL40" s="49" t="s">
        <v>197</v>
      </c>
      <c r="HM40" s="49" t="s">
        <v>197</v>
      </c>
      <c r="HN40" s="49">
        <v>6</v>
      </c>
      <c r="HO40" s="49">
        <v>6</v>
      </c>
      <c r="HP40" s="50">
        <v>7.1881188118811901</v>
      </c>
      <c r="HQ40" s="50">
        <v>7.5952662721893498</v>
      </c>
      <c r="HR40" s="50">
        <v>7.5952662721893498</v>
      </c>
      <c r="HS40" s="50">
        <v>7.5952662721893498</v>
      </c>
      <c r="HT40" s="50">
        <v>9.5212799005902493</v>
      </c>
      <c r="HU40" s="50">
        <v>9.5212799005902493</v>
      </c>
      <c r="HV40" s="50">
        <v>9.5212799005902493</v>
      </c>
      <c r="HW40" s="50">
        <v>10.3398570984778</v>
      </c>
      <c r="HX40" s="50">
        <v>10.1360032526936</v>
      </c>
      <c r="HY40" s="50">
        <v>9.75</v>
      </c>
      <c r="HZ40" s="50">
        <v>9.75</v>
      </c>
      <c r="IA40" s="50">
        <v>9.75</v>
      </c>
    </row>
    <row r="41" spans="1:235">
      <c r="A41" s="12" t="s">
        <v>268</v>
      </c>
      <c r="B41" s="34" t="s">
        <v>216</v>
      </c>
      <c r="C41" s="12" t="s">
        <v>268</v>
      </c>
      <c r="D41" s="53">
        <v>18</v>
      </c>
      <c r="E41" s="53">
        <v>10.94</v>
      </c>
      <c r="F41" s="53">
        <v>12.11</v>
      </c>
      <c r="G41" s="53">
        <v>14.23</v>
      </c>
      <c r="H41" s="53">
        <v>13.72</v>
      </c>
      <c r="I41" s="53">
        <v>15.48</v>
      </c>
      <c r="J41" s="53">
        <v>15.6</v>
      </c>
      <c r="K41" s="53">
        <v>17.36</v>
      </c>
      <c r="L41" s="53">
        <v>17.36</v>
      </c>
      <c r="M41" s="53">
        <v>18.059999999999999</v>
      </c>
      <c r="N41" s="53">
        <v>15.93</v>
      </c>
      <c r="O41" s="53">
        <v>17.68</v>
      </c>
      <c r="P41" s="53">
        <v>18.41</v>
      </c>
      <c r="Q41" s="53">
        <v>18.41</v>
      </c>
      <c r="R41" s="53">
        <v>18.41</v>
      </c>
      <c r="S41" s="53">
        <v>18.41</v>
      </c>
      <c r="T41" s="53">
        <v>18.41</v>
      </c>
      <c r="U41" s="53">
        <v>18.41</v>
      </c>
      <c r="V41" s="53">
        <v>18.41</v>
      </c>
      <c r="W41" s="53">
        <v>18.41</v>
      </c>
      <c r="X41" s="53">
        <v>18.18</v>
      </c>
      <c r="Y41" s="53">
        <v>18.16</v>
      </c>
      <c r="Z41" s="53">
        <v>18.18128686617241</v>
      </c>
      <c r="AA41" s="53">
        <v>18.410233219200205</v>
      </c>
      <c r="AB41" s="53">
        <v>18.18128686617241</v>
      </c>
      <c r="AC41" s="53">
        <v>18.410233219200205</v>
      </c>
      <c r="AD41" s="53">
        <v>18.410233219200205</v>
      </c>
      <c r="AE41" s="53">
        <v>18.410233219200205</v>
      </c>
      <c r="AF41" s="53">
        <v>18.410233219200205</v>
      </c>
      <c r="AG41" s="53">
        <v>18.410233219200205</v>
      </c>
      <c r="AH41" s="53">
        <v>17.269545019254672</v>
      </c>
      <c r="AI41" s="53">
        <v>16.458406050029087</v>
      </c>
      <c r="AJ41" s="53">
        <v>16.699548603647546</v>
      </c>
      <c r="AK41" s="53">
        <v>16.495480681615856</v>
      </c>
      <c r="AL41" s="53">
        <v>16.495480681615856</v>
      </c>
      <c r="AM41" s="53">
        <v>16.68777905714925</v>
      </c>
      <c r="AN41" s="53">
        <v>18.809691041311552</v>
      </c>
      <c r="AO41" s="53">
        <v>18.677126927917119</v>
      </c>
      <c r="AP41" s="53">
        <v>17.37666566659593</v>
      </c>
      <c r="AQ41" s="53">
        <v>15.69316722248141</v>
      </c>
      <c r="AR41" s="53">
        <v>15.396927474097891</v>
      </c>
      <c r="AS41" s="53">
        <v>16.882986913010008</v>
      </c>
      <c r="AT41" s="53">
        <v>16.826732628819236</v>
      </c>
      <c r="AU41" s="53">
        <v>16.809999999999999</v>
      </c>
      <c r="AV41" s="53">
        <v>16.82</v>
      </c>
      <c r="AW41" s="53">
        <v>15.310040436885107</v>
      </c>
      <c r="AX41" s="53">
        <v>17.393626051392854</v>
      </c>
      <c r="AY41" s="53">
        <v>18.88162048223742</v>
      </c>
      <c r="AZ41" s="53">
        <v>18.663304597701149</v>
      </c>
      <c r="BA41" s="53">
        <v>20.046781448127859</v>
      </c>
      <c r="BB41" s="53">
        <v>15.322366195868954</v>
      </c>
      <c r="BC41" s="53">
        <v>17.420000000000002</v>
      </c>
      <c r="BD41" s="53">
        <v>17.459307276073282</v>
      </c>
      <c r="BE41" s="53">
        <v>17.531610554528385</v>
      </c>
      <c r="BF41" s="53">
        <v>17.663685667534551</v>
      </c>
      <c r="BG41" s="53">
        <v>17.135494450517893</v>
      </c>
      <c r="BH41" s="53">
        <v>17.375044201890663</v>
      </c>
      <c r="BI41" s="53">
        <v>17.311010009099181</v>
      </c>
      <c r="BJ41" s="53">
        <v>15.702678852820673</v>
      </c>
      <c r="BK41" s="53">
        <v>19.804917325664988</v>
      </c>
      <c r="BL41" s="53">
        <v>18.084811576818684</v>
      </c>
      <c r="BM41" s="53">
        <v>18.148454389093146</v>
      </c>
      <c r="BN41" s="53">
        <v>19.771466103567658</v>
      </c>
      <c r="BO41" s="53">
        <v>19.349600476223184</v>
      </c>
      <c r="BP41" s="53">
        <v>18.974978140187488</v>
      </c>
      <c r="BQ41" s="53">
        <v>16.760997023134927</v>
      </c>
      <c r="BR41" s="53">
        <v>17.445460068785192</v>
      </c>
      <c r="BS41" s="53">
        <v>13.079545153426254</v>
      </c>
      <c r="BT41" s="53">
        <v>13.88</v>
      </c>
      <c r="BU41" s="53">
        <v>13.683221784483147</v>
      </c>
      <c r="BV41" s="53">
        <v>13.737489809820541</v>
      </c>
      <c r="BW41" s="53">
        <v>14.487871094609863</v>
      </c>
      <c r="BX41" s="53">
        <v>16.183079948919193</v>
      </c>
      <c r="BY41" s="53">
        <v>14.940792986202828</v>
      </c>
      <c r="BZ41" s="53">
        <v>11.18626850718023</v>
      </c>
      <c r="CA41" s="53">
        <v>10.756190280489058</v>
      </c>
      <c r="CB41" s="53">
        <v>10.976815974790185</v>
      </c>
      <c r="CC41" s="53">
        <v>10.733140363443036</v>
      </c>
      <c r="CD41" s="53">
        <v>10.935378438347481</v>
      </c>
      <c r="CE41" s="53">
        <v>11.081856432487568</v>
      </c>
      <c r="CF41" s="53">
        <v>10.765506697728597</v>
      </c>
      <c r="CG41" s="53">
        <v>10.801550387596899</v>
      </c>
      <c r="CH41" s="53">
        <v>10.963678160919541</v>
      </c>
      <c r="CI41" s="53">
        <v>10.700476190476191</v>
      </c>
      <c r="CJ41" s="53">
        <v>9.6482597099003851</v>
      </c>
      <c r="CK41" s="53">
        <v>9.4440092069079817</v>
      </c>
      <c r="CL41" s="53">
        <v>10.488404147995213</v>
      </c>
      <c r="CM41" s="53">
        <v>10.445496049395636</v>
      </c>
      <c r="CN41" s="53">
        <v>11.02</v>
      </c>
      <c r="CO41" s="53">
        <v>10.923956731677052</v>
      </c>
      <c r="CP41" s="53">
        <v>11.058119503128117</v>
      </c>
      <c r="CQ41" s="53">
        <v>11.020998847244291</v>
      </c>
      <c r="CR41" s="53">
        <v>10.728328972161744</v>
      </c>
      <c r="CS41" s="53">
        <v>10.268771983483713</v>
      </c>
      <c r="CT41" s="53">
        <v>10.555905013192611</v>
      </c>
      <c r="CU41" s="53">
        <v>11.052991809807356</v>
      </c>
      <c r="CV41" s="53">
        <v>10.835711125857109</v>
      </c>
      <c r="CW41" s="53">
        <v>10.448880254630957</v>
      </c>
      <c r="CX41" s="53">
        <v>9.86995204500586</v>
      </c>
      <c r="CY41" s="53">
        <v>10.2810300680258</v>
      </c>
      <c r="CZ41" s="53">
        <v>9.86995204500586</v>
      </c>
      <c r="DA41" s="53">
        <v>8.9465286270351498</v>
      </c>
      <c r="DB41" s="53">
        <v>10.122630811155499</v>
      </c>
      <c r="DC41" s="53">
        <v>9.87566262000745</v>
      </c>
      <c r="DD41" s="53">
        <v>9.9551544991540002</v>
      </c>
      <c r="DE41" s="53">
        <v>9.8362662946742301</v>
      </c>
      <c r="DF41" s="53">
        <v>9.2319168880245304</v>
      </c>
      <c r="DG41" s="53">
        <v>8.8614708730185505</v>
      </c>
      <c r="DH41" s="53">
        <v>9.1078664042084103</v>
      </c>
      <c r="DI41" s="53">
        <v>8.6996488748507392</v>
      </c>
      <c r="DJ41" s="53">
        <v>8.93798266660081</v>
      </c>
      <c r="DK41" s="53">
        <v>8.3705805821918204</v>
      </c>
      <c r="DL41" s="53">
        <v>8.1508192560977992</v>
      </c>
      <c r="DM41" s="53">
        <v>8.5129801699516996</v>
      </c>
      <c r="DN41" s="53">
        <v>8.9697588566043809</v>
      </c>
      <c r="DO41" s="53">
        <v>9.5570909846229792</v>
      </c>
      <c r="DP41" s="53">
        <v>9.0274825658463502</v>
      </c>
      <c r="DQ41" s="53">
        <v>8.73276167310555</v>
      </c>
      <c r="DR41" s="53">
        <v>7.4777922221252</v>
      </c>
      <c r="DS41" s="53">
        <v>6.9231999619632898</v>
      </c>
      <c r="DT41" s="53">
        <v>7.7056040882566199</v>
      </c>
      <c r="DU41" s="53">
        <v>8.9370285716512594</v>
      </c>
      <c r="DV41" s="53">
        <v>9.0500000000000007</v>
      </c>
      <c r="DW41" s="53">
        <v>8.5068187813129992</v>
      </c>
      <c r="DX41" s="53">
        <v>7.2024412677132199</v>
      </c>
      <c r="DY41" s="53">
        <v>7.4450864356356004</v>
      </c>
      <c r="DZ41" s="53">
        <v>8.2010760040011608</v>
      </c>
      <c r="EA41" s="53">
        <v>9.2974057696937802</v>
      </c>
      <c r="EB41" s="53">
        <v>7.46653523316132</v>
      </c>
      <c r="EC41" s="53">
        <v>7.6905530973731899</v>
      </c>
      <c r="ED41" s="53">
        <v>7.0637361780595</v>
      </c>
      <c r="EE41" s="53">
        <v>7.1559769602633096</v>
      </c>
      <c r="EF41" s="53">
        <v>6.25956838317662</v>
      </c>
      <c r="EG41" s="53">
        <v>5.5253465218276396</v>
      </c>
      <c r="EH41" s="53">
        <v>5.5233643933386203</v>
      </c>
      <c r="EI41" s="53">
        <v>7.0501760550274302</v>
      </c>
      <c r="EJ41" s="53">
        <v>6.6122865648548501</v>
      </c>
      <c r="EK41" s="53">
        <v>6.5118220134836999</v>
      </c>
      <c r="EL41" s="53">
        <v>6.5118220134836999</v>
      </c>
      <c r="EM41" s="53">
        <v>6.3776730587198296</v>
      </c>
      <c r="EN41" s="53">
        <v>6.8981355225530798</v>
      </c>
      <c r="EO41" s="53">
        <v>6.2797344328747107</v>
      </c>
      <c r="EP41" s="53">
        <v>6.2797344328747107</v>
      </c>
      <c r="EQ41" s="53">
        <v>6.2797344328747107</v>
      </c>
      <c r="ER41" s="53">
        <v>6.2797344328747107</v>
      </c>
      <c r="ES41" s="53">
        <v>8.734515152507651</v>
      </c>
      <c r="ET41" s="53">
        <v>6.2282713089385098</v>
      </c>
      <c r="EU41" s="53">
        <v>6.4788121453155503</v>
      </c>
      <c r="EV41" s="53">
        <v>6.1411331304674706</v>
      </c>
      <c r="EW41" s="53">
        <v>6.4788121453155503</v>
      </c>
      <c r="EX41" s="53">
        <v>6.4788121453155503</v>
      </c>
      <c r="EY41" s="53">
        <v>6.1411331304674706</v>
      </c>
      <c r="EZ41" s="53">
        <v>6.4788121453155503</v>
      </c>
      <c r="FA41" s="53">
        <v>1.4516025595348399</v>
      </c>
      <c r="FB41" s="53">
        <v>1.4516025595348399</v>
      </c>
      <c r="FC41" s="53">
        <v>1.4516025595348399</v>
      </c>
      <c r="FD41" s="53">
        <v>1.4516025595348399</v>
      </c>
      <c r="FE41" s="53">
        <v>15.372549019607801</v>
      </c>
      <c r="FF41" s="53">
        <v>1.96758074936607</v>
      </c>
      <c r="FG41" s="53">
        <v>1.96758074936607</v>
      </c>
      <c r="FH41" s="53">
        <v>1.96758074936607</v>
      </c>
      <c r="FI41" s="53">
        <v>1.9675807493660671</v>
      </c>
      <c r="FJ41" s="53">
        <v>1.96758074936607</v>
      </c>
      <c r="FK41" s="53">
        <v>14.000000000000002</v>
      </c>
      <c r="FL41" s="53">
        <v>14.000000000000002</v>
      </c>
      <c r="FM41" s="53">
        <v>14.000000000000002</v>
      </c>
      <c r="FN41" s="53">
        <v>14.000000000000002</v>
      </c>
      <c r="FO41" s="53">
        <v>14.000000000000002</v>
      </c>
      <c r="FP41" s="53">
        <v>14.000000000000002</v>
      </c>
      <c r="FQ41" s="53">
        <v>10</v>
      </c>
      <c r="FR41" s="53">
        <v>9.2799999999999994</v>
      </c>
      <c r="FS41" s="53">
        <v>9.27</v>
      </c>
      <c r="FT41" s="53">
        <v>9.27</v>
      </c>
      <c r="FU41" s="53">
        <v>9.32</v>
      </c>
      <c r="FV41" s="53">
        <v>9.31</v>
      </c>
      <c r="FW41" s="53">
        <v>9.31</v>
      </c>
      <c r="FX41" s="53">
        <v>9.3000000000000007</v>
      </c>
      <c r="FY41" s="52">
        <v>9.3000000000000007</v>
      </c>
      <c r="FZ41" s="52">
        <v>9.3000000000000007</v>
      </c>
      <c r="GA41" s="52">
        <v>9.3000000000000007</v>
      </c>
      <c r="GB41" s="53">
        <v>9.2799999999999994</v>
      </c>
      <c r="GC41" s="53">
        <v>9.07</v>
      </c>
      <c r="GD41" s="47">
        <v>8.75</v>
      </c>
      <c r="GE41" s="46">
        <v>8.75</v>
      </c>
      <c r="GF41" s="46">
        <v>6.83</v>
      </c>
      <c r="GG41" s="51">
        <v>8.32</v>
      </c>
      <c r="GH41" s="52">
        <v>8.7200000000000006</v>
      </c>
      <c r="GI41" s="52">
        <v>8.7200000000000006</v>
      </c>
      <c r="GJ41" s="52">
        <v>8.7200000000000006</v>
      </c>
      <c r="GK41" s="52">
        <v>8.7899999999999991</v>
      </c>
      <c r="GL41" s="52">
        <v>8.7899999999999991</v>
      </c>
      <c r="GM41" s="50">
        <v>8.7899999999999991</v>
      </c>
      <c r="GN41" s="50">
        <v>8.8699999999999992</v>
      </c>
      <c r="GO41" s="50">
        <v>8.66</v>
      </c>
      <c r="GP41" s="50">
        <v>8.66</v>
      </c>
      <c r="GQ41" s="50">
        <v>8.65</v>
      </c>
      <c r="GR41" s="50">
        <v>8.52</v>
      </c>
      <c r="GS41" s="50">
        <v>8.57</v>
      </c>
      <c r="GT41" s="50">
        <v>8.57</v>
      </c>
      <c r="GU41" s="50">
        <v>8.48</v>
      </c>
      <c r="GV41" s="50">
        <v>8.48</v>
      </c>
      <c r="GW41" s="50">
        <v>8.1803672770800606</v>
      </c>
      <c r="GX41" s="50">
        <v>8.1606455742681892</v>
      </c>
      <c r="GY41" s="50">
        <v>8.1606455742681892</v>
      </c>
      <c r="GZ41" s="50">
        <v>8.1606455742681892</v>
      </c>
      <c r="HA41" s="50">
        <v>8.0027423629972692</v>
      </c>
      <c r="HB41" s="50">
        <v>7.4918833177884503</v>
      </c>
      <c r="HC41" s="50">
        <v>7.4918833177884503</v>
      </c>
      <c r="HD41" s="50">
        <v>7.3589897060732801</v>
      </c>
      <c r="HE41" s="50">
        <v>7.3589897060732801</v>
      </c>
      <c r="HF41" s="50">
        <v>7.2175042877127504</v>
      </c>
      <c r="HG41" s="50">
        <v>7.1754579095088902</v>
      </c>
      <c r="HH41" s="50">
        <v>7.1754579095088902</v>
      </c>
      <c r="HI41" s="50">
        <v>7.1754579095088902</v>
      </c>
      <c r="HJ41" s="50">
        <v>7.4203343438735097</v>
      </c>
      <c r="HK41" s="50">
        <v>7.7079501207445604</v>
      </c>
      <c r="HL41" s="50">
        <v>7.7079501207445604</v>
      </c>
      <c r="HM41" s="50">
        <v>7.7079501207445604</v>
      </c>
      <c r="HN41" s="50">
        <v>8.3286979089426101</v>
      </c>
      <c r="HO41" s="50">
        <v>8.3286979089426101</v>
      </c>
      <c r="HP41" s="50">
        <v>8.7861293550200301</v>
      </c>
      <c r="HQ41" s="50">
        <v>8.7861293550200301</v>
      </c>
      <c r="HR41" s="50">
        <v>8.8699999999999992</v>
      </c>
      <c r="HS41" s="50">
        <v>8.7861293550200301</v>
      </c>
      <c r="HT41" s="50">
        <v>8.7861293550200301</v>
      </c>
      <c r="HU41" s="50">
        <v>8.7861293550200301</v>
      </c>
      <c r="HV41" s="50">
        <v>8.8699999999999992</v>
      </c>
      <c r="HW41" s="50">
        <v>9</v>
      </c>
      <c r="HX41" s="50">
        <v>9</v>
      </c>
      <c r="HY41" s="50">
        <v>9</v>
      </c>
      <c r="HZ41" s="50">
        <v>9</v>
      </c>
      <c r="IA41" s="50">
        <v>9</v>
      </c>
    </row>
    <row r="42" spans="1:235">
      <c r="A42" s="12" t="s">
        <v>269</v>
      </c>
      <c r="B42" s="34" t="s">
        <v>217</v>
      </c>
      <c r="C42" s="12" t="s">
        <v>269</v>
      </c>
      <c r="D42" s="53">
        <v>20</v>
      </c>
      <c r="E42" s="53">
        <v>19.97</v>
      </c>
      <c r="F42" s="53">
        <v>19.97</v>
      </c>
      <c r="G42" s="53">
        <v>19.97</v>
      </c>
      <c r="H42" s="53">
        <v>19.96</v>
      </c>
      <c r="I42" s="53">
        <v>19.97</v>
      </c>
      <c r="J42" s="53">
        <v>20</v>
      </c>
      <c r="K42" s="53">
        <v>20</v>
      </c>
      <c r="L42" s="53">
        <v>20</v>
      </c>
      <c r="M42" s="53">
        <v>20</v>
      </c>
      <c r="N42" s="53">
        <v>20</v>
      </c>
      <c r="O42" s="53">
        <v>20</v>
      </c>
      <c r="P42" s="53">
        <v>20</v>
      </c>
      <c r="Q42" s="53">
        <v>20</v>
      </c>
      <c r="R42" s="53">
        <v>20</v>
      </c>
      <c r="S42" s="53">
        <v>20</v>
      </c>
      <c r="T42" s="53">
        <v>20</v>
      </c>
      <c r="U42" s="53">
        <v>20</v>
      </c>
      <c r="V42" s="53">
        <v>20</v>
      </c>
      <c r="W42" s="53">
        <v>18.84</v>
      </c>
      <c r="X42" s="53">
        <v>18.86</v>
      </c>
      <c r="Y42" s="53">
        <v>18.87</v>
      </c>
      <c r="Z42" s="53">
        <v>18.894736842105264</v>
      </c>
      <c r="AA42" s="53">
        <v>18.907221929362152</v>
      </c>
      <c r="AB42" s="53">
        <v>18.919746568109819</v>
      </c>
      <c r="AC42" s="53">
        <v>18.529280535415506</v>
      </c>
      <c r="AD42" s="53">
        <v>18.95</v>
      </c>
      <c r="AE42" s="53">
        <v>18.96</v>
      </c>
      <c r="AF42" s="53">
        <v>19</v>
      </c>
      <c r="AG42" s="53">
        <v>19.02</v>
      </c>
      <c r="AH42" s="53">
        <v>17.789450709348856</v>
      </c>
      <c r="AI42" s="53">
        <v>17.551941764360066</v>
      </c>
      <c r="AJ42" s="53">
        <v>17.344614238861119</v>
      </c>
      <c r="AK42" s="53">
        <v>17.206471177816045</v>
      </c>
      <c r="AL42" s="53">
        <v>17.207986838553783</v>
      </c>
      <c r="AM42" s="53">
        <v>17.213337449830195</v>
      </c>
      <c r="AN42" s="53">
        <v>17.075066963013622</v>
      </c>
      <c r="AO42" s="53">
        <v>17.075181799530398</v>
      </c>
      <c r="AP42" s="53">
        <v>17.075251045786647</v>
      </c>
      <c r="AQ42" s="53">
        <v>17.079074416966748</v>
      </c>
      <c r="AR42" s="53">
        <v>16.227101816405582</v>
      </c>
      <c r="AS42" s="53">
        <v>15.942292678282396</v>
      </c>
      <c r="AT42" s="53">
        <v>15.712698653912291</v>
      </c>
      <c r="AU42" s="53">
        <v>16.68</v>
      </c>
      <c r="AV42" s="53">
        <v>16.48</v>
      </c>
      <c r="AW42" s="53">
        <v>16.620587169937494</v>
      </c>
      <c r="AX42" s="53">
        <v>17.538262165489535</v>
      </c>
      <c r="AY42" s="53">
        <v>18.976047349459598</v>
      </c>
      <c r="AZ42" s="53">
        <v>12.5</v>
      </c>
      <c r="BA42" s="53">
        <v>17.344011020628805</v>
      </c>
      <c r="BB42" s="53">
        <v>17.537343752116033</v>
      </c>
      <c r="BC42" s="53">
        <v>17.553718207732544</v>
      </c>
      <c r="BD42" s="53">
        <v>17.496261705457165</v>
      </c>
      <c r="BE42" s="53">
        <v>17.496261705457165</v>
      </c>
      <c r="BF42" s="53">
        <v>21.71</v>
      </c>
      <c r="BG42" s="53">
        <v>17.221073774006452</v>
      </c>
      <c r="BH42" s="53">
        <v>17.14</v>
      </c>
      <c r="BI42" s="53">
        <v>17.567868431902514</v>
      </c>
      <c r="BJ42" s="53">
        <v>17.531830699095181</v>
      </c>
      <c r="BK42" s="53">
        <v>16.883990480919039</v>
      </c>
      <c r="BL42" s="53">
        <v>16.883711770951059</v>
      </c>
      <c r="BM42" s="53">
        <v>16.88882028060787</v>
      </c>
      <c r="BN42" s="53">
        <v>17.542768704811621</v>
      </c>
      <c r="BO42" s="53">
        <v>17.542329020332716</v>
      </c>
      <c r="BP42" s="53">
        <v>17.205540843348953</v>
      </c>
      <c r="BQ42" s="53">
        <v>17.485504693619578</v>
      </c>
      <c r="BR42" s="53">
        <v>17.828244960265792</v>
      </c>
      <c r="BS42" s="53">
        <v>16.8454862787842</v>
      </c>
      <c r="BT42" s="53">
        <v>17.190000000000001</v>
      </c>
      <c r="BU42" s="53">
        <v>18.096454914440596</v>
      </c>
      <c r="BV42" s="53">
        <v>18.099954590378506</v>
      </c>
      <c r="BW42" s="53">
        <v>15.510494785888618</v>
      </c>
      <c r="BX42" s="53">
        <v>13.412686815725291</v>
      </c>
      <c r="BY42" s="53">
        <v>15.409252384487976</v>
      </c>
      <c r="BZ42" s="53">
        <v>18.000976390556222</v>
      </c>
      <c r="CA42" s="53">
        <v>16.880051480051481</v>
      </c>
      <c r="CB42" s="53">
        <v>16.910901923373689</v>
      </c>
      <c r="CC42" s="53">
        <v>13.934474206349208</v>
      </c>
      <c r="CD42" s="53">
        <v>13.434026107866712</v>
      </c>
      <c r="CE42" s="53">
        <v>14.185026457340271</v>
      </c>
      <c r="CF42" s="53">
        <v>14.176193901035672</v>
      </c>
      <c r="CG42" s="53">
        <v>14.187180200222469</v>
      </c>
      <c r="CH42" s="53">
        <v>10.99694094004689</v>
      </c>
      <c r="CI42" s="53">
        <v>11.134662553279629</v>
      </c>
      <c r="CJ42" s="53">
        <v>11.084009912796425</v>
      </c>
      <c r="CK42" s="53">
        <v>11.125006536357837</v>
      </c>
      <c r="CL42" s="53">
        <v>11.174083589727324</v>
      </c>
      <c r="CM42" s="53">
        <v>11.215464952372818</v>
      </c>
      <c r="CN42" s="53">
        <v>11.19</v>
      </c>
      <c r="CO42" s="53">
        <v>10.214753253587991</v>
      </c>
      <c r="CP42" s="53">
        <v>10.233338947841222</v>
      </c>
      <c r="CQ42" s="53">
        <v>9.1222351571594888</v>
      </c>
      <c r="CR42" s="53">
        <v>8.9582358908644348</v>
      </c>
      <c r="CS42" s="53">
        <v>8.586450973100284</v>
      </c>
      <c r="CT42" s="53">
        <v>8.7068969992731802</v>
      </c>
      <c r="CU42" s="53">
        <v>10.270892975459738</v>
      </c>
      <c r="CV42" s="53">
        <v>10.416360597071149</v>
      </c>
      <c r="CW42" s="53">
        <v>10.351481216225014</v>
      </c>
      <c r="CX42" s="53">
        <v>7.7504413876664202</v>
      </c>
      <c r="CY42" s="53">
        <v>8.1097275026295002</v>
      </c>
      <c r="CZ42" s="53">
        <v>7.8705576302662603</v>
      </c>
      <c r="DA42" s="53">
        <v>8.07611927280246</v>
      </c>
      <c r="DB42" s="53">
        <v>8.0907796069619309</v>
      </c>
      <c r="DC42" s="53">
        <v>7.7391326095227102</v>
      </c>
      <c r="DD42" s="53">
        <v>7.2035467102016604</v>
      </c>
      <c r="DE42" s="53">
        <v>10.729340835176901</v>
      </c>
      <c r="DF42" s="53">
        <v>9.0551390782178398</v>
      </c>
      <c r="DG42" s="53">
        <v>9.0772697448221198</v>
      </c>
      <c r="DH42" s="53">
        <v>8.7388447877490805</v>
      </c>
      <c r="DI42" s="53">
        <v>8.8597182464903099</v>
      </c>
      <c r="DJ42" s="53">
        <v>8.7972305931189396</v>
      </c>
      <c r="DK42" s="53">
        <v>8.9170012539301098</v>
      </c>
      <c r="DL42" s="53">
        <v>9.0612946146514908</v>
      </c>
      <c r="DM42" s="53">
        <v>8.8849966189832195</v>
      </c>
      <c r="DN42" s="53">
        <v>8.6967359128277799</v>
      </c>
      <c r="DO42" s="53">
        <v>8.9522624112294995</v>
      </c>
      <c r="DP42" s="53">
        <v>9.0397376489035608</v>
      </c>
      <c r="DQ42" s="53">
        <v>8.74591530379152</v>
      </c>
      <c r="DR42" s="53">
        <v>8.4425390100745297</v>
      </c>
      <c r="DS42" s="53">
        <v>8.1527764106650409</v>
      </c>
      <c r="DT42" s="53">
        <v>8.5157198761413806</v>
      </c>
      <c r="DU42" s="53">
        <v>8.5122139972387707</v>
      </c>
      <c r="DV42" s="53">
        <v>7.95</v>
      </c>
      <c r="DW42" s="53">
        <v>8.5976032506787607</v>
      </c>
      <c r="DX42" s="53">
        <v>8.7106326009658002</v>
      </c>
      <c r="DY42" s="53">
        <v>7.6563972552641504</v>
      </c>
      <c r="DZ42" s="53">
        <v>7.5070169720731803</v>
      </c>
      <c r="EA42" s="53">
        <v>6.9217232484333202</v>
      </c>
      <c r="EB42" s="53">
        <v>7.0466112389239397</v>
      </c>
      <c r="EC42" s="53">
        <v>7.1733167097595203</v>
      </c>
      <c r="ED42" s="53">
        <v>6.5935588159325196</v>
      </c>
      <c r="EE42" s="53">
        <v>6.6541982906160797</v>
      </c>
      <c r="EF42" s="53">
        <v>6.3194070660522303</v>
      </c>
      <c r="EG42" s="53">
        <v>6.2624452892382099</v>
      </c>
      <c r="EH42" s="53">
        <v>7.1498432379042498</v>
      </c>
      <c r="EI42" s="53">
        <v>5.5983552989376699</v>
      </c>
      <c r="EJ42" s="53">
        <v>4.1025284467713803</v>
      </c>
      <c r="EK42" s="53">
        <v>1.54154017442939</v>
      </c>
      <c r="EL42" s="53">
        <v>1.25440610104862</v>
      </c>
      <c r="EM42" s="53">
        <v>1.25440610104862</v>
      </c>
      <c r="EN42" s="53">
        <v>5.1216372581174197</v>
      </c>
      <c r="EO42" s="53">
        <v>4.8646052631579</v>
      </c>
      <c r="EP42" s="53">
        <v>4.8646052631579</v>
      </c>
      <c r="EQ42" s="53">
        <v>4.767779148467981</v>
      </c>
      <c r="ER42" s="53">
        <v>8.9114957134627808</v>
      </c>
      <c r="ES42" s="53">
        <v>8.9370805328708105</v>
      </c>
      <c r="ET42" s="53">
        <v>10.662133739067201</v>
      </c>
      <c r="EU42" s="53">
        <v>11.397285787706499</v>
      </c>
      <c r="EV42" s="53">
        <v>11.4263919131358</v>
      </c>
      <c r="EW42" s="53">
        <v>11.3055075891728</v>
      </c>
      <c r="EX42" s="53">
        <v>11.3187309780456</v>
      </c>
      <c r="EY42" s="53">
        <v>11.3589730605631</v>
      </c>
      <c r="EZ42" s="53">
        <v>10.0702884033931</v>
      </c>
      <c r="FA42" s="53">
        <v>9.9045177838652112</v>
      </c>
      <c r="FB42" s="53">
        <v>9.9115047862274306</v>
      </c>
      <c r="FC42" s="53">
        <v>9.9312036045845904</v>
      </c>
      <c r="FD42" s="53">
        <v>9.9387910025754795</v>
      </c>
      <c r="FE42" s="53">
        <v>11.692507322809199</v>
      </c>
      <c r="FF42" s="53">
        <v>11.251492565987101</v>
      </c>
      <c r="FG42" s="53">
        <v>11.272052341713499</v>
      </c>
      <c r="FH42" s="53">
        <v>13.528729470960599</v>
      </c>
      <c r="FI42" s="53">
        <v>12.644752563873256</v>
      </c>
      <c r="FJ42" s="53">
        <v>12.583420155487399</v>
      </c>
      <c r="FK42" s="53">
        <v>11.202385602259399</v>
      </c>
      <c r="FL42" s="53">
        <v>10.612420600668401</v>
      </c>
      <c r="FM42" s="53">
        <v>10.6022204422257</v>
      </c>
      <c r="FN42" s="53">
        <v>10.409576716381901</v>
      </c>
      <c r="FO42" s="53">
        <v>9.3553931928426195</v>
      </c>
      <c r="FP42" s="53">
        <v>9.3553931928426195</v>
      </c>
      <c r="FQ42" s="53">
        <v>9.3714233827030995</v>
      </c>
      <c r="FR42" s="53">
        <v>9.2728419603945298</v>
      </c>
      <c r="FS42" s="53">
        <v>9.2728419603945298</v>
      </c>
      <c r="FT42" s="53">
        <v>8.8575952358445988</v>
      </c>
      <c r="FU42" s="53">
        <v>8.9884180047380902</v>
      </c>
      <c r="FV42" s="53">
        <v>9.0360838418678711</v>
      </c>
      <c r="FW42" s="48">
        <v>9.0360838418678693</v>
      </c>
      <c r="FX42" s="48">
        <v>8.8188299433843564</v>
      </c>
      <c r="FY42" s="52">
        <v>8.8188299433843564</v>
      </c>
      <c r="FZ42" s="52">
        <v>6.9401103230890469</v>
      </c>
      <c r="GA42" s="52">
        <v>7.0518638573743919</v>
      </c>
      <c r="GB42" s="53">
        <v>7.0518638573743919</v>
      </c>
      <c r="GC42" s="53">
        <v>7.1788549937317176</v>
      </c>
      <c r="GD42" s="48">
        <v>7.1788549937317176</v>
      </c>
      <c r="GE42" s="53">
        <v>7.1788549937317176</v>
      </c>
      <c r="GF42" s="53">
        <v>7.0345356249495685</v>
      </c>
      <c r="GG42" s="52">
        <v>7.0345356249495685</v>
      </c>
      <c r="GH42" s="52">
        <v>7.0345356249495703</v>
      </c>
      <c r="GI42" s="52">
        <v>7.0345356249495703</v>
      </c>
      <c r="GJ42" s="52">
        <v>6.8487443471567397</v>
      </c>
      <c r="GK42" s="52">
        <v>6.8487443471567397</v>
      </c>
      <c r="GL42" s="52">
        <v>6.8487443471567397</v>
      </c>
      <c r="GM42" s="50">
        <v>6.8487443471567397</v>
      </c>
      <c r="GN42" s="50">
        <v>6.8487443471567397</v>
      </c>
      <c r="GO42" s="50">
        <v>6.8487443471567397</v>
      </c>
      <c r="GP42" s="50">
        <v>6.8487443471567397</v>
      </c>
      <c r="GQ42" s="50">
        <v>6.8487443471567397</v>
      </c>
      <c r="GR42" s="50">
        <v>6.8487443471567397</v>
      </c>
      <c r="GS42" s="50">
        <v>6.8487443471567397</v>
      </c>
      <c r="GT42" s="50">
        <v>6.8487443471567397</v>
      </c>
      <c r="GU42" s="50">
        <v>6.8487443471567397</v>
      </c>
      <c r="GV42" s="50">
        <v>6.8487443471567397</v>
      </c>
      <c r="GW42" s="50">
        <v>6.8487443471567397</v>
      </c>
      <c r="GX42" s="50">
        <v>6.9719511597116703</v>
      </c>
      <c r="GY42" s="50">
        <v>6.9719511597116703</v>
      </c>
      <c r="GZ42" s="50">
        <v>6.9719511597116703</v>
      </c>
      <c r="HA42" s="50">
        <v>6.9719511597116703</v>
      </c>
      <c r="HB42" s="50">
        <v>9.30867815806468</v>
      </c>
      <c r="HC42" s="50">
        <v>9.30867815806468</v>
      </c>
      <c r="HD42" s="50">
        <v>9.30867815806468</v>
      </c>
      <c r="HE42" s="50">
        <v>9.30867815806468</v>
      </c>
      <c r="HF42" s="50">
        <v>9.30867815806468</v>
      </c>
      <c r="HG42" s="50">
        <v>9.30867815806468</v>
      </c>
      <c r="HH42" s="50">
        <v>9.30867815806468</v>
      </c>
      <c r="HI42" s="50">
        <v>9.30867815806468</v>
      </c>
      <c r="HJ42" s="50">
        <v>9.30867815806468</v>
      </c>
      <c r="HK42" s="50">
        <v>9.30867815806468</v>
      </c>
      <c r="HL42" s="50">
        <v>9.30867815806468</v>
      </c>
      <c r="HM42" s="50">
        <v>9.30867815806468</v>
      </c>
      <c r="HN42" s="50">
        <v>9.30867815806468</v>
      </c>
      <c r="HO42" s="50">
        <v>9.30867815806468</v>
      </c>
      <c r="HP42" s="50">
        <v>9.30867815806468</v>
      </c>
      <c r="HQ42" s="50">
        <v>9.30867815806468</v>
      </c>
      <c r="HR42" s="50">
        <v>9.30867815806468</v>
      </c>
      <c r="HS42" s="50">
        <v>9.3188542644081203</v>
      </c>
      <c r="HT42" s="50">
        <v>9.3188542644081203</v>
      </c>
      <c r="HU42" s="50">
        <v>9.36</v>
      </c>
      <c r="HV42" s="50">
        <v>9.36</v>
      </c>
      <c r="HW42" s="50">
        <v>9.8000000000000007</v>
      </c>
      <c r="HX42" s="50">
        <v>9.8000000000000007</v>
      </c>
      <c r="HY42" s="50">
        <v>9.8000000000000007</v>
      </c>
      <c r="HZ42" s="50">
        <v>9.8000000000000007</v>
      </c>
      <c r="IA42" s="50">
        <v>9.8000000000000007</v>
      </c>
    </row>
    <row r="43" spans="1:235"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42"/>
      <c r="GH43" s="42"/>
      <c r="GI43" s="42"/>
      <c r="GJ43" s="42"/>
      <c r="GK43" s="42"/>
      <c r="GL43" s="42"/>
      <c r="GM43" s="42"/>
      <c r="GN43" s="42"/>
      <c r="GO43" s="42"/>
      <c r="GP43" s="42"/>
      <c r="GQ43" s="42"/>
      <c r="GR43" s="42"/>
      <c r="GS43" s="42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</row>
    <row r="44" spans="1:235"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42"/>
      <c r="GH44" s="42"/>
      <c r="GI44" s="42"/>
      <c r="GJ44" s="42"/>
      <c r="GK44" s="42"/>
      <c r="GL44" s="42"/>
      <c r="GM44" s="42"/>
      <c r="GN44" s="42"/>
      <c r="GO44" s="42"/>
      <c r="GP44" s="42"/>
      <c r="GQ44" s="42"/>
      <c r="GR44" s="42"/>
      <c r="GS44" s="42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</row>
  </sheetData>
  <dataValidations count="2">
    <dataValidation type="list" allowBlank="1" showErrorMessage="1" prompt="_x000a_" sqref="B6" xr:uid="{00000000-0002-0000-0100-000000000000}">
      <formula1>$WQU$3:$WQU$6</formula1>
    </dataValidation>
    <dataValidation type="list" allowBlank="1" showInputMessage="1" showErrorMessage="1" sqref="B7" xr:uid="{00000000-0002-0000-0100-000001000000}">
      <formula1>$WQT$3:$WQT$5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QU44"/>
  <sheetViews>
    <sheetView workbookViewId="0">
      <pane xSplit="3" ySplit="10" topLeftCell="HR11" activePane="bottomRight" state="frozen"/>
      <selection pane="topRight" activeCell="D1" sqref="D1"/>
      <selection pane="bottomLeft" activeCell="A11" sqref="A11"/>
      <selection pane="bottomRight" activeCell="IG18" sqref="IG18"/>
    </sheetView>
  </sheetViews>
  <sheetFormatPr baseColWidth="10" defaultColWidth="8.83203125" defaultRowHeight="15"/>
  <cols>
    <col min="1" max="1" width="25" style="12" customWidth="1"/>
    <col min="2" max="2" width="58.5" style="12" bestFit="1" customWidth="1"/>
    <col min="3" max="3" width="23.6640625" style="12" customWidth="1"/>
    <col min="4" max="160" width="7.6640625" style="12" bestFit="1" customWidth="1"/>
    <col min="161" max="178" width="7.6640625" style="49" bestFit="1" customWidth="1"/>
    <col min="179" max="235" width="7.6640625" style="49" customWidth="1"/>
    <col min="236" max="451" width="7.6640625" style="12" bestFit="1" customWidth="1"/>
    <col min="452" max="16009" width="8.83203125" style="12"/>
    <col min="16010" max="16010" width="2.6640625" style="12" bestFit="1" customWidth="1"/>
    <col min="16011" max="16011" width="2" style="12" bestFit="1" customWidth="1"/>
    <col min="16012" max="16339" width="8.83203125" style="12"/>
    <col min="16340" max="16384" width="9.1640625" style="12" customWidth="1"/>
  </cols>
  <sheetData>
    <row r="1" spans="1:451 16010:16011" s="1" customFormat="1">
      <c r="A1" s="2" t="s">
        <v>57</v>
      </c>
      <c r="B1" s="15" t="s">
        <v>58</v>
      </c>
      <c r="C1" s="3" t="s">
        <v>59</v>
      </c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WQT1" s="4"/>
      <c r="WQU1" s="4"/>
    </row>
    <row r="2" spans="1:451 16010:16011" s="1" customFormat="1">
      <c r="A2" s="2" t="s">
        <v>60</v>
      </c>
      <c r="B2" s="16" t="s">
        <v>61</v>
      </c>
      <c r="C2" s="3" t="s">
        <v>62</v>
      </c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WQT2" s="4"/>
      <c r="WQU2" s="4"/>
    </row>
    <row r="3" spans="1:451 16010:16011" s="1" customFormat="1">
      <c r="A3" s="2" t="s">
        <v>0</v>
      </c>
      <c r="B3" s="17" t="s">
        <v>42</v>
      </c>
      <c r="C3" s="3" t="s">
        <v>15</v>
      </c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WQT3" s="4" t="s">
        <v>10</v>
      </c>
      <c r="WQU3" s="4">
        <v>0</v>
      </c>
    </row>
    <row r="4" spans="1:451 16010:16011" s="1" customFormat="1">
      <c r="A4" s="2" t="s">
        <v>1</v>
      </c>
      <c r="B4" s="16" t="s">
        <v>182</v>
      </c>
      <c r="C4" s="3" t="s">
        <v>12</v>
      </c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WQT4" s="4" t="s">
        <v>9</v>
      </c>
      <c r="WQU4" s="4">
        <v>3</v>
      </c>
    </row>
    <row r="5" spans="1:451 16010:16011" s="1" customFormat="1" ht="16" thickBot="1">
      <c r="A5" s="2" t="s">
        <v>2</v>
      </c>
      <c r="B5" s="17" t="s">
        <v>41</v>
      </c>
      <c r="C5" s="3" t="s">
        <v>13</v>
      </c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WQT5" s="4" t="s">
        <v>4</v>
      </c>
      <c r="WQU5" s="4">
        <v>6</v>
      </c>
    </row>
    <row r="6" spans="1:451 16010:16011" s="1" customFormat="1">
      <c r="A6" s="5" t="s">
        <v>5</v>
      </c>
      <c r="B6" s="15">
        <v>0</v>
      </c>
      <c r="C6" s="6" t="str">
        <f>"Scale = "&amp;IF(B6=0,"Unit",(IF(B6=3,"Thousand",(IF(B6=6,"Million",(IF(B6=9,"Billion")))))))</f>
        <v>Scale = Unit</v>
      </c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WQT6" s="4"/>
      <c r="WQU6" s="4">
        <v>9</v>
      </c>
    </row>
    <row r="7" spans="1:451 16010:16011" s="1" customFormat="1">
      <c r="A7" s="2" t="s">
        <v>3</v>
      </c>
      <c r="B7" s="17" t="s">
        <v>10</v>
      </c>
      <c r="C7" s="3" t="str">
        <f>"Frequency = "&amp;IF(B7="A","Annual",IF(B7="Q", "Quarterly", "Monthly"))</f>
        <v>Frequency = Monthly</v>
      </c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</row>
    <row r="8" spans="1:451 16010:16011" s="1" customFormat="1" ht="17" thickBot="1">
      <c r="A8" s="7" t="s">
        <v>11</v>
      </c>
      <c r="B8" s="18" t="s">
        <v>298</v>
      </c>
      <c r="C8" s="8" t="s">
        <v>14</v>
      </c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</row>
    <row r="9" spans="1:451 16010:16011" s="1" customFormat="1" ht="16" thickBot="1">
      <c r="A9" s="9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</row>
    <row r="10" spans="1:451 16010:16011" ht="16" thickBot="1">
      <c r="A10" s="10" t="s">
        <v>8</v>
      </c>
      <c r="B10" s="11" t="s">
        <v>7</v>
      </c>
      <c r="C10" s="11" t="s">
        <v>6</v>
      </c>
      <c r="D10" s="13">
        <v>2003</v>
      </c>
      <c r="E10" s="13">
        <v>2004</v>
      </c>
      <c r="F10" s="13" t="s">
        <v>185</v>
      </c>
      <c r="G10" s="13" t="s">
        <v>186</v>
      </c>
      <c r="H10" s="13" t="s">
        <v>187</v>
      </c>
      <c r="I10" s="13" t="s">
        <v>188</v>
      </c>
      <c r="J10" s="13" t="s">
        <v>189</v>
      </c>
      <c r="K10" s="13" t="s">
        <v>190</v>
      </c>
      <c r="L10" s="13" t="s">
        <v>191</v>
      </c>
      <c r="M10" s="13" t="s">
        <v>192</v>
      </c>
      <c r="N10" s="13" t="s">
        <v>193</v>
      </c>
      <c r="O10" s="13" t="s">
        <v>194</v>
      </c>
      <c r="P10" s="13" t="s">
        <v>195</v>
      </c>
      <c r="Q10" s="13" t="s">
        <v>196</v>
      </c>
      <c r="R10" s="13" t="s">
        <v>64</v>
      </c>
      <c r="S10" s="13" t="s">
        <v>65</v>
      </c>
      <c r="T10" s="13" t="s">
        <v>66</v>
      </c>
      <c r="U10" s="13" t="s">
        <v>67</v>
      </c>
      <c r="V10" s="13" t="s">
        <v>68</v>
      </c>
      <c r="W10" s="13" t="s">
        <v>69</v>
      </c>
      <c r="X10" s="13" t="s">
        <v>70</v>
      </c>
      <c r="Y10" s="13" t="s">
        <v>71</v>
      </c>
      <c r="Z10" s="13" t="s">
        <v>72</v>
      </c>
      <c r="AA10" s="13" t="s">
        <v>73</v>
      </c>
      <c r="AB10" s="13" t="s">
        <v>74</v>
      </c>
      <c r="AC10" s="13" t="s">
        <v>75</v>
      </c>
      <c r="AD10" s="13" t="s">
        <v>76</v>
      </c>
      <c r="AE10" s="13" t="s">
        <v>77</v>
      </c>
      <c r="AF10" s="13" t="s">
        <v>78</v>
      </c>
      <c r="AG10" s="13" t="s">
        <v>79</v>
      </c>
      <c r="AH10" s="13" t="s">
        <v>80</v>
      </c>
      <c r="AI10" s="13" t="s">
        <v>81</v>
      </c>
      <c r="AJ10" s="13" t="s">
        <v>82</v>
      </c>
      <c r="AK10" s="13" t="s">
        <v>83</v>
      </c>
      <c r="AL10" s="13" t="s">
        <v>84</v>
      </c>
      <c r="AM10" s="13" t="s">
        <v>85</v>
      </c>
      <c r="AN10" s="13" t="s">
        <v>86</v>
      </c>
      <c r="AO10" s="13" t="s">
        <v>87</v>
      </c>
      <c r="AP10" s="13" t="s">
        <v>88</v>
      </c>
      <c r="AQ10" s="13" t="s">
        <v>89</v>
      </c>
      <c r="AR10" s="13" t="s">
        <v>90</v>
      </c>
      <c r="AS10" s="13" t="s">
        <v>91</v>
      </c>
      <c r="AT10" s="13" t="s">
        <v>92</v>
      </c>
      <c r="AU10" s="13" t="s">
        <v>93</v>
      </c>
      <c r="AV10" s="13" t="s">
        <v>94</v>
      </c>
      <c r="AW10" s="13" t="s">
        <v>95</v>
      </c>
      <c r="AX10" s="13" t="s">
        <v>96</v>
      </c>
      <c r="AY10" s="13" t="s">
        <v>97</v>
      </c>
      <c r="AZ10" s="13" t="s">
        <v>98</v>
      </c>
      <c r="BA10" s="13" t="s">
        <v>99</v>
      </c>
      <c r="BB10" s="13" t="s">
        <v>100</v>
      </c>
      <c r="BC10" s="13" t="s">
        <v>101</v>
      </c>
      <c r="BD10" s="13" t="s">
        <v>102</v>
      </c>
      <c r="BE10" s="13" t="s">
        <v>103</v>
      </c>
      <c r="BF10" s="13" t="s">
        <v>104</v>
      </c>
      <c r="BG10" s="13" t="s">
        <v>105</v>
      </c>
      <c r="BH10" s="13" t="s">
        <v>106</v>
      </c>
      <c r="BI10" s="13" t="s">
        <v>107</v>
      </c>
      <c r="BJ10" s="13" t="s">
        <v>108</v>
      </c>
      <c r="BK10" s="13" t="s">
        <v>109</v>
      </c>
      <c r="BL10" s="13" t="s">
        <v>110</v>
      </c>
      <c r="BM10" s="13" t="s">
        <v>111</v>
      </c>
      <c r="BN10" s="13" t="s">
        <v>112</v>
      </c>
      <c r="BO10" s="13" t="s">
        <v>113</v>
      </c>
      <c r="BP10" s="13" t="s">
        <v>114</v>
      </c>
      <c r="BQ10" s="13" t="s">
        <v>115</v>
      </c>
      <c r="BR10" s="13" t="s">
        <v>116</v>
      </c>
      <c r="BS10" s="13" t="s">
        <v>117</v>
      </c>
      <c r="BT10" s="13" t="s">
        <v>118</v>
      </c>
      <c r="BU10" s="13" t="s">
        <v>119</v>
      </c>
      <c r="BV10" s="13" t="s">
        <v>120</v>
      </c>
      <c r="BW10" s="13" t="s">
        <v>121</v>
      </c>
      <c r="BX10" s="13" t="s">
        <v>122</v>
      </c>
      <c r="BY10" s="13" t="s">
        <v>123</v>
      </c>
      <c r="BZ10" s="13" t="s">
        <v>124</v>
      </c>
      <c r="CA10" s="13" t="s">
        <v>125</v>
      </c>
      <c r="CB10" s="13" t="s">
        <v>126</v>
      </c>
      <c r="CC10" s="13" t="s">
        <v>127</v>
      </c>
      <c r="CD10" s="13" t="s">
        <v>128</v>
      </c>
      <c r="CE10" s="13" t="s">
        <v>129</v>
      </c>
      <c r="CF10" s="13" t="s">
        <v>130</v>
      </c>
      <c r="CG10" s="13" t="s">
        <v>131</v>
      </c>
      <c r="CH10" s="13" t="s">
        <v>132</v>
      </c>
      <c r="CI10" s="13" t="s">
        <v>133</v>
      </c>
      <c r="CJ10" s="13" t="s">
        <v>134</v>
      </c>
      <c r="CK10" s="13" t="s">
        <v>135</v>
      </c>
      <c r="CL10" s="13" t="s">
        <v>136</v>
      </c>
      <c r="CM10" s="13" t="s">
        <v>137</v>
      </c>
      <c r="CN10" s="13" t="s">
        <v>138</v>
      </c>
      <c r="CO10" s="13" t="s">
        <v>139</v>
      </c>
      <c r="CP10" s="13" t="s">
        <v>140</v>
      </c>
      <c r="CQ10" s="13" t="s">
        <v>141</v>
      </c>
      <c r="CR10" s="13" t="s">
        <v>142</v>
      </c>
      <c r="CS10" s="13" t="s">
        <v>143</v>
      </c>
      <c r="CT10" s="13" t="s">
        <v>144</v>
      </c>
      <c r="CU10" s="13" t="s">
        <v>145</v>
      </c>
      <c r="CV10" s="13" t="s">
        <v>146</v>
      </c>
      <c r="CW10" s="13" t="s">
        <v>147</v>
      </c>
      <c r="CX10" s="13" t="s">
        <v>148</v>
      </c>
      <c r="CY10" s="13" t="s">
        <v>149</v>
      </c>
      <c r="CZ10" s="13" t="s">
        <v>150</v>
      </c>
      <c r="DA10" s="13" t="s">
        <v>151</v>
      </c>
      <c r="DB10" s="13" t="s">
        <v>152</v>
      </c>
      <c r="DC10" s="13" t="s">
        <v>153</v>
      </c>
      <c r="DD10" s="13" t="s">
        <v>154</v>
      </c>
      <c r="DE10" s="13" t="s">
        <v>155</v>
      </c>
      <c r="DF10" s="13" t="s">
        <v>156</v>
      </c>
      <c r="DG10" s="13" t="s">
        <v>157</v>
      </c>
      <c r="DH10" s="13" t="s">
        <v>158</v>
      </c>
      <c r="DI10" s="13" t="s">
        <v>159</v>
      </c>
      <c r="DJ10" s="13" t="s">
        <v>16</v>
      </c>
      <c r="DK10" s="13" t="s">
        <v>19</v>
      </c>
      <c r="DL10" s="13" t="s">
        <v>39</v>
      </c>
      <c r="DM10" s="13" t="s">
        <v>37</v>
      </c>
      <c r="DN10" s="13" t="s">
        <v>35</v>
      </c>
      <c r="DO10" s="13" t="s">
        <v>33</v>
      </c>
      <c r="DP10" s="13" t="s">
        <v>31</v>
      </c>
      <c r="DQ10" s="13" t="s">
        <v>29</v>
      </c>
      <c r="DR10" s="13" t="s">
        <v>27</v>
      </c>
      <c r="DS10" s="13" t="s">
        <v>23</v>
      </c>
      <c r="DT10" s="13" t="s">
        <v>21</v>
      </c>
      <c r="DU10" s="13" t="s">
        <v>25</v>
      </c>
      <c r="DV10" s="13" t="s">
        <v>17</v>
      </c>
      <c r="DW10" s="13" t="s">
        <v>20</v>
      </c>
      <c r="DX10" s="13" t="s">
        <v>40</v>
      </c>
      <c r="DY10" s="13" t="s">
        <v>38</v>
      </c>
      <c r="DZ10" s="13" t="s">
        <v>36</v>
      </c>
      <c r="EA10" s="13" t="s">
        <v>34</v>
      </c>
      <c r="EB10" s="13" t="s">
        <v>32</v>
      </c>
      <c r="EC10" s="13" t="s">
        <v>30</v>
      </c>
      <c r="ED10" s="13" t="s">
        <v>28</v>
      </c>
      <c r="EE10" s="13" t="s">
        <v>24</v>
      </c>
      <c r="EF10" s="13" t="s">
        <v>22</v>
      </c>
      <c r="EG10" s="13" t="s">
        <v>26</v>
      </c>
      <c r="EH10" s="13" t="s">
        <v>18</v>
      </c>
      <c r="EI10" s="13" t="s">
        <v>43</v>
      </c>
      <c r="EJ10" s="13" t="s">
        <v>44</v>
      </c>
      <c r="EK10" s="13" t="s">
        <v>45</v>
      </c>
      <c r="EL10" s="13" t="s">
        <v>46</v>
      </c>
      <c r="EM10" s="13" t="s">
        <v>47</v>
      </c>
      <c r="EN10" s="13" t="s">
        <v>48</v>
      </c>
      <c r="EO10" s="13" t="s">
        <v>49</v>
      </c>
      <c r="EP10" s="13" t="s">
        <v>50</v>
      </c>
      <c r="EQ10" s="13" t="s">
        <v>51</v>
      </c>
      <c r="ER10" s="13" t="s">
        <v>52</v>
      </c>
      <c r="ES10" s="13" t="s">
        <v>53</v>
      </c>
      <c r="ET10" s="13" t="s">
        <v>54</v>
      </c>
      <c r="EU10" s="13" t="s">
        <v>55</v>
      </c>
      <c r="EV10" s="13" t="s">
        <v>56</v>
      </c>
      <c r="EW10" s="13" t="s">
        <v>160</v>
      </c>
      <c r="EX10" s="13" t="s">
        <v>161</v>
      </c>
      <c r="EY10" s="13" t="s">
        <v>162</v>
      </c>
      <c r="EZ10" s="13" t="s">
        <v>163</v>
      </c>
      <c r="FA10" s="13" t="s">
        <v>164</v>
      </c>
      <c r="FB10" s="13" t="s">
        <v>165</v>
      </c>
      <c r="FC10" s="13" t="s">
        <v>166</v>
      </c>
      <c r="FD10" s="13" t="s">
        <v>167</v>
      </c>
      <c r="FE10" s="37" t="s">
        <v>168</v>
      </c>
      <c r="FF10" s="37" t="s">
        <v>169</v>
      </c>
      <c r="FG10" s="37" t="s">
        <v>170</v>
      </c>
      <c r="FH10" s="37" t="s">
        <v>171</v>
      </c>
      <c r="FI10" s="37" t="s">
        <v>172</v>
      </c>
      <c r="FJ10" s="37" t="s">
        <v>173</v>
      </c>
      <c r="FK10" s="37" t="s">
        <v>174</v>
      </c>
      <c r="FL10" s="37" t="s">
        <v>175</v>
      </c>
      <c r="FM10" s="37" t="s">
        <v>176</v>
      </c>
      <c r="FN10" s="37" t="s">
        <v>177</v>
      </c>
      <c r="FO10" s="37" t="s">
        <v>178</v>
      </c>
      <c r="FP10" s="37" t="s">
        <v>179</v>
      </c>
      <c r="FQ10" s="37" t="s">
        <v>180</v>
      </c>
      <c r="FR10" s="37" t="s">
        <v>299</v>
      </c>
      <c r="FS10" s="37" t="s">
        <v>300</v>
      </c>
      <c r="FT10" s="37" t="s">
        <v>301</v>
      </c>
      <c r="FU10" s="37" t="s">
        <v>303</v>
      </c>
      <c r="FV10" s="37" t="s">
        <v>304</v>
      </c>
      <c r="FW10" s="37" t="s">
        <v>305</v>
      </c>
      <c r="FX10" s="37" t="s">
        <v>306</v>
      </c>
      <c r="FY10" s="37" t="s">
        <v>307</v>
      </c>
      <c r="FZ10" s="37" t="s">
        <v>308</v>
      </c>
      <c r="GA10" s="37" t="s">
        <v>310</v>
      </c>
      <c r="GB10" s="37" t="s">
        <v>311</v>
      </c>
      <c r="GC10" s="37" t="s">
        <v>312</v>
      </c>
      <c r="GD10" s="37" t="s">
        <v>313</v>
      </c>
      <c r="GE10" s="37" t="s">
        <v>314</v>
      </c>
      <c r="GF10" s="37" t="s">
        <v>316</v>
      </c>
      <c r="GG10" s="37" t="s">
        <v>317</v>
      </c>
      <c r="GH10" s="37" t="s">
        <v>318</v>
      </c>
      <c r="GI10" s="37" t="s">
        <v>319</v>
      </c>
      <c r="GJ10" s="37" t="s">
        <v>320</v>
      </c>
      <c r="GK10" s="37" t="s">
        <v>322</v>
      </c>
      <c r="GL10" s="37" t="s">
        <v>323</v>
      </c>
      <c r="GM10" s="37" t="s">
        <v>325</v>
      </c>
      <c r="GN10" s="37" t="s">
        <v>326</v>
      </c>
      <c r="GO10" s="37" t="s">
        <v>327</v>
      </c>
      <c r="GP10" s="37" t="s">
        <v>329</v>
      </c>
      <c r="GQ10" s="37" t="s">
        <v>329</v>
      </c>
      <c r="GR10" s="37" t="s">
        <v>330</v>
      </c>
      <c r="GS10" s="37" t="s">
        <v>331</v>
      </c>
      <c r="GT10" s="37" t="s">
        <v>332</v>
      </c>
      <c r="GU10" s="37" t="s">
        <v>333</v>
      </c>
      <c r="GV10" s="37" t="s">
        <v>334</v>
      </c>
      <c r="GW10" s="37" t="s">
        <v>335</v>
      </c>
      <c r="GX10" s="37" t="s">
        <v>336</v>
      </c>
      <c r="GY10" s="37" t="s">
        <v>337</v>
      </c>
      <c r="GZ10" s="37" t="s">
        <v>338</v>
      </c>
      <c r="HA10" s="37" t="s">
        <v>339</v>
      </c>
      <c r="HB10" s="37" t="s">
        <v>340</v>
      </c>
      <c r="HC10" s="37" t="s">
        <v>341</v>
      </c>
      <c r="HD10" s="37" t="s">
        <v>342</v>
      </c>
      <c r="HE10" s="37" t="s">
        <v>343</v>
      </c>
      <c r="HF10" s="37" t="s">
        <v>344</v>
      </c>
      <c r="HG10" s="37" t="s">
        <v>345</v>
      </c>
      <c r="HH10" s="37" t="s">
        <v>346</v>
      </c>
      <c r="HI10" s="37" t="s">
        <v>347</v>
      </c>
      <c r="HJ10" s="37" t="s">
        <v>348</v>
      </c>
      <c r="HK10" s="37" t="s">
        <v>349</v>
      </c>
      <c r="HL10" s="37" t="s">
        <v>350</v>
      </c>
      <c r="HM10" s="37" t="s">
        <v>351</v>
      </c>
      <c r="HN10" s="37" t="s">
        <v>352</v>
      </c>
      <c r="HO10" s="37" t="s">
        <v>353</v>
      </c>
      <c r="HP10" s="37" t="s">
        <v>354</v>
      </c>
      <c r="HQ10" s="37" t="s">
        <v>355</v>
      </c>
      <c r="HR10" s="37" t="s">
        <v>356</v>
      </c>
      <c r="HS10" s="37" t="s">
        <v>357</v>
      </c>
      <c r="HT10" s="37" t="s">
        <v>358</v>
      </c>
      <c r="HU10" s="37" t="s">
        <v>359</v>
      </c>
      <c r="HV10" s="37" t="s">
        <v>360</v>
      </c>
      <c r="HW10" s="37" t="s">
        <v>361</v>
      </c>
      <c r="HX10" s="37" t="s">
        <v>362</v>
      </c>
      <c r="HY10" s="37" t="s">
        <v>363</v>
      </c>
      <c r="HZ10" s="37" t="s">
        <v>364</v>
      </c>
      <c r="IA10" s="37" t="s">
        <v>365</v>
      </c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</row>
    <row r="11" spans="1:451 16010:16011" s="22" customFormat="1" ht="16.5" customHeight="1">
      <c r="A11" s="31" t="s">
        <v>63</v>
      </c>
      <c r="B11" s="32" t="s">
        <v>241</v>
      </c>
      <c r="C11" s="23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</row>
    <row r="12" spans="1:451 16010:16011">
      <c r="A12" s="20" t="s">
        <v>63</v>
      </c>
      <c r="B12" s="21" t="s">
        <v>198</v>
      </c>
      <c r="C12" s="14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</row>
    <row r="13" spans="1:451 16010:16011">
      <c r="A13" s="20" t="s">
        <v>270</v>
      </c>
      <c r="B13" s="33" t="s">
        <v>219</v>
      </c>
      <c r="C13" s="20" t="s">
        <v>270</v>
      </c>
      <c r="D13" s="43">
        <v>10.08</v>
      </c>
      <c r="E13" s="44">
        <v>9.43</v>
      </c>
      <c r="F13" s="44">
        <v>10.02</v>
      </c>
      <c r="G13" s="44">
        <v>10.01</v>
      </c>
      <c r="H13" s="44">
        <v>9.93</v>
      </c>
      <c r="I13" s="44">
        <v>9.77</v>
      </c>
      <c r="J13" s="44">
        <v>9.8000000000000007</v>
      </c>
      <c r="K13" s="44">
        <v>9.99</v>
      </c>
      <c r="L13" s="44">
        <v>10.91</v>
      </c>
      <c r="M13" s="44">
        <v>10</v>
      </c>
      <c r="N13" s="44">
        <v>10.220547650525372</v>
      </c>
      <c r="O13" s="44">
        <v>10.319637957820659</v>
      </c>
      <c r="P13" s="44">
        <v>10.178527504086118</v>
      </c>
      <c r="Q13" s="44">
        <v>10.187015327247307</v>
      </c>
      <c r="R13" s="44">
        <v>10.371434055040151</v>
      </c>
      <c r="S13" s="44">
        <v>10.717757360098522</v>
      </c>
      <c r="T13" s="44">
        <v>10.992092862441837</v>
      </c>
      <c r="U13" s="44">
        <v>10.744750484707557</v>
      </c>
      <c r="V13" s="44">
        <v>10.84</v>
      </c>
      <c r="W13" s="44">
        <v>11.022342188044044</v>
      </c>
      <c r="X13" s="44">
        <v>11.148588439466153</v>
      </c>
      <c r="Y13" s="44">
        <v>11.05920263199787</v>
      </c>
      <c r="Z13" s="44">
        <v>11.470580449764423</v>
      </c>
      <c r="AA13" s="44">
        <v>11.296443751155259</v>
      </c>
      <c r="AB13" s="44">
        <v>11.340902771924531</v>
      </c>
      <c r="AC13" s="44">
        <v>11.58</v>
      </c>
      <c r="AD13" s="44">
        <v>11.51</v>
      </c>
      <c r="AE13" s="44">
        <v>11.69</v>
      </c>
      <c r="AF13" s="44">
        <v>12.2</v>
      </c>
      <c r="AG13" s="44">
        <v>12.37</v>
      </c>
      <c r="AH13" s="44">
        <v>12.59821815211086</v>
      </c>
      <c r="AI13" s="44">
        <v>12.606299355439848</v>
      </c>
      <c r="AJ13" s="44">
        <v>12.667387373114769</v>
      </c>
      <c r="AK13" s="44">
        <v>12.654806257782685</v>
      </c>
      <c r="AL13" s="44">
        <v>12.688912433052959</v>
      </c>
      <c r="AM13" s="44">
        <v>12.734229916902422</v>
      </c>
      <c r="AN13" s="44">
        <v>12.369543330507399</v>
      </c>
      <c r="AO13" s="44">
        <v>12.219044809934442</v>
      </c>
      <c r="AP13" s="44">
        <v>12.14634212163414</v>
      </c>
      <c r="AQ13" s="44">
        <v>10.151489787302468</v>
      </c>
      <c r="AR13" s="44">
        <v>9.8368908002746895</v>
      </c>
      <c r="AS13" s="44">
        <v>9.5145034611006416</v>
      </c>
      <c r="AT13" s="44">
        <v>9.7967534790830388</v>
      </c>
      <c r="AU13" s="44">
        <v>9.6338831608320366</v>
      </c>
      <c r="AV13" s="44">
        <v>9.52</v>
      </c>
      <c r="AW13" s="44">
        <v>7.8395737085250543</v>
      </c>
      <c r="AX13" s="44">
        <v>7.9669867574257021</v>
      </c>
      <c r="AY13" s="44">
        <v>8.0695539192407999</v>
      </c>
      <c r="AZ13" s="44">
        <v>7.9073689049268454</v>
      </c>
      <c r="BA13" s="44">
        <v>7.9583591920351697</v>
      </c>
      <c r="BB13" s="44">
        <v>8.1977315006159532</v>
      </c>
      <c r="BC13" s="44">
        <v>9.0088346368103789</v>
      </c>
      <c r="BD13" s="44">
        <v>11.282690038631689</v>
      </c>
      <c r="BE13" s="44">
        <v>10.835784364443432</v>
      </c>
      <c r="BF13" s="44">
        <v>10.558669095738395</v>
      </c>
      <c r="BG13" s="44">
        <v>10.772275632790823</v>
      </c>
      <c r="BH13" s="44">
        <v>9.382649390351828</v>
      </c>
      <c r="BI13" s="44">
        <v>9.555496467843259</v>
      </c>
      <c r="BJ13" s="44">
        <v>10.644111620393474</v>
      </c>
      <c r="BK13" s="44">
        <v>10.890232332606585</v>
      </c>
      <c r="BL13" s="44">
        <v>10.797985330539023</v>
      </c>
      <c r="BM13" s="44">
        <v>10.708407750549791</v>
      </c>
      <c r="BN13" s="44">
        <v>11.018271969149104</v>
      </c>
      <c r="BO13" s="44">
        <v>10.991053009358701</v>
      </c>
      <c r="BP13" s="44">
        <v>11.094100139311639</v>
      </c>
      <c r="BQ13" s="44">
        <v>11.101894351003327</v>
      </c>
      <c r="BR13" s="44">
        <v>10.874683535350744</v>
      </c>
      <c r="BS13" s="44">
        <v>10.94660037158711</v>
      </c>
      <c r="BT13" s="44">
        <v>11.02</v>
      </c>
      <c r="BU13" s="44">
        <v>10.569090484973072</v>
      </c>
      <c r="BV13" s="44">
        <v>10.405435186927548</v>
      </c>
      <c r="BW13" s="44">
        <v>10.503239924985904</v>
      </c>
      <c r="BX13" s="44">
        <v>10.630501243704192</v>
      </c>
      <c r="BY13" s="44">
        <v>11.64344600494818</v>
      </c>
      <c r="BZ13" s="44">
        <v>11.345264091019976</v>
      </c>
      <c r="CA13" s="44">
        <v>11.887590045993775</v>
      </c>
      <c r="CB13" s="44">
        <v>11.093327185371567</v>
      </c>
      <c r="CC13" s="44">
        <v>11.196832365796132</v>
      </c>
      <c r="CD13" s="44">
        <v>11.346171687087807</v>
      </c>
      <c r="CE13" s="44">
        <v>11.002126460939801</v>
      </c>
      <c r="CF13" s="44">
        <v>11.158039043902226</v>
      </c>
      <c r="CG13" s="44">
        <v>11.260888688259454</v>
      </c>
      <c r="CH13" s="44">
        <v>11.457300337144005</v>
      </c>
      <c r="CI13" s="44">
        <v>11.195667908927541</v>
      </c>
      <c r="CJ13" s="44">
        <v>11.267840977942724</v>
      </c>
      <c r="CK13" s="44">
        <v>11.11193754726729</v>
      </c>
      <c r="CL13" s="44">
        <v>11.15094016277394</v>
      </c>
      <c r="CM13" s="44">
        <v>11.035907500807472</v>
      </c>
      <c r="CN13" s="44">
        <v>10.916659408861973</v>
      </c>
      <c r="CO13" s="44">
        <v>10.968540679286095</v>
      </c>
      <c r="CP13" s="44">
        <v>11.011558597816119</v>
      </c>
      <c r="CQ13" s="44">
        <v>10.793325837993052</v>
      </c>
      <c r="CR13" s="44">
        <v>10.770296467193761</v>
      </c>
      <c r="CS13" s="44">
        <v>10.76730146378042</v>
      </c>
      <c r="CT13" s="44">
        <v>10.493164881112145</v>
      </c>
      <c r="CU13" s="44">
        <v>10.300958135140972</v>
      </c>
      <c r="CV13" s="44">
        <v>10.286572524726303</v>
      </c>
      <c r="CW13" s="44">
        <v>10.178710726478325</v>
      </c>
      <c r="CX13" s="44">
        <v>10.34577778455035</v>
      </c>
      <c r="CY13" s="44">
        <v>10.310514144352737</v>
      </c>
      <c r="CZ13" s="44">
        <v>10.32637320736532</v>
      </c>
      <c r="DA13" s="44">
        <v>10.245488282038993</v>
      </c>
      <c r="DB13" s="44">
        <v>10.370607608552318</v>
      </c>
      <c r="DC13" s="44">
        <v>10.110724483077579</v>
      </c>
      <c r="DD13" s="44">
        <v>10.03535543418965</v>
      </c>
      <c r="DE13" s="44">
        <v>10.005140104836167</v>
      </c>
      <c r="DF13" s="44">
        <v>10.044738809608438</v>
      </c>
      <c r="DG13" s="44">
        <v>9.9003835484868112</v>
      </c>
      <c r="DH13" s="44">
        <v>9.7184276881036329</v>
      </c>
      <c r="DI13" s="44">
        <v>9.6644118121558424</v>
      </c>
      <c r="DJ13" s="44">
        <v>9.6551971496758515</v>
      </c>
      <c r="DK13" s="44">
        <v>9.740441464743542</v>
      </c>
      <c r="DL13" s="44">
        <v>9.6385763746616355</v>
      </c>
      <c r="DM13" s="44">
        <v>9.6395330671180357</v>
      </c>
      <c r="DN13" s="44">
        <v>8.9890125085675994</v>
      </c>
      <c r="DO13" s="44">
        <v>9.4967666096898249</v>
      </c>
      <c r="DP13" s="44">
        <v>9.4667463621534775</v>
      </c>
      <c r="DQ13" s="44">
        <v>9.3911260986846568</v>
      </c>
      <c r="DR13" s="44">
        <v>9.0039621694609977</v>
      </c>
      <c r="DS13" s="44">
        <v>8.9118220629155811</v>
      </c>
      <c r="DT13" s="44">
        <v>9.3731688263573449</v>
      </c>
      <c r="DU13" s="44">
        <v>9.2351702662960786</v>
      </c>
      <c r="DV13" s="44">
        <v>8.93</v>
      </c>
      <c r="DW13" s="44">
        <v>8.7331442739580947</v>
      </c>
      <c r="DX13" s="44">
        <v>8.7453318920255825</v>
      </c>
      <c r="DY13" s="44">
        <v>8.3095828065019042</v>
      </c>
      <c r="DZ13" s="44">
        <v>8.3753970919019114</v>
      </c>
      <c r="EA13" s="44">
        <v>8.4692981525065942</v>
      </c>
      <c r="EB13" s="44">
        <v>8.3624471657176294</v>
      </c>
      <c r="EC13" s="44">
        <v>8.3346306997363513</v>
      </c>
      <c r="ED13" s="44">
        <v>8.5963007252091721</v>
      </c>
      <c r="EE13" s="44">
        <v>8.5095621037188867</v>
      </c>
      <c r="EF13" s="44">
        <v>8.2527527278886375</v>
      </c>
      <c r="EG13" s="44">
        <v>8.0585173415691198</v>
      </c>
      <c r="EH13" s="44">
        <v>7.669221598017975</v>
      </c>
      <c r="EI13" s="44">
        <v>6.9931245152580832</v>
      </c>
      <c r="EJ13" s="44">
        <v>6.2779121374884701</v>
      </c>
      <c r="EK13" s="44">
        <v>5.8381688648343069</v>
      </c>
      <c r="EL13" s="44">
        <v>5.418083950833755</v>
      </c>
      <c r="EM13" s="44">
        <v>5.4243543360049298</v>
      </c>
      <c r="EN13" s="44">
        <v>5.1444265421016926</v>
      </c>
      <c r="EO13" s="44">
        <v>4.9749364877635536</v>
      </c>
      <c r="EP13" s="44">
        <v>5.1223333144383014</v>
      </c>
      <c r="EQ13" s="44">
        <v>4.7203920877170056</v>
      </c>
      <c r="ER13" s="44">
        <v>4.6752075996117286</v>
      </c>
      <c r="ES13" s="44">
        <v>4.6575166249814339</v>
      </c>
      <c r="ET13" s="44">
        <v>4.3968435644553985</v>
      </c>
      <c r="EU13" s="44">
        <v>4.2239479775957243</v>
      </c>
      <c r="EV13" s="44">
        <v>4.1030224135572135</v>
      </c>
      <c r="EW13" s="44">
        <v>3.8833737737847716</v>
      </c>
      <c r="EX13" s="44">
        <v>3.7943590771214413</v>
      </c>
      <c r="EY13" s="44">
        <v>3.7139229244167642</v>
      </c>
      <c r="EZ13" s="44">
        <v>3.6460069303721845</v>
      </c>
      <c r="FA13" s="44">
        <v>3.5690455864802502</v>
      </c>
      <c r="FB13" s="44">
        <v>3.3669194225889805</v>
      </c>
      <c r="FC13" s="44">
        <v>3.3279623877593458</v>
      </c>
      <c r="FD13" s="44">
        <v>3.0546474749815697</v>
      </c>
      <c r="FE13" s="47">
        <v>2.9961275170641333</v>
      </c>
      <c r="FF13" s="47">
        <v>2.9235677217547935</v>
      </c>
      <c r="FG13" s="47">
        <v>2.9195149539065364</v>
      </c>
      <c r="FH13" s="47">
        <v>2.8177618454761451</v>
      </c>
      <c r="FI13" s="47">
        <v>2.6965609397783332</v>
      </c>
      <c r="FJ13" s="47">
        <v>2.6463043063408236</v>
      </c>
      <c r="FK13" s="47">
        <v>2.5183389510809748</v>
      </c>
      <c r="FL13" s="47">
        <v>2.4637831796217129</v>
      </c>
      <c r="FM13" s="47">
        <v>2.4269626632772194</v>
      </c>
      <c r="FN13" s="47">
        <v>2.3913842769644988</v>
      </c>
      <c r="FO13" s="47">
        <v>2.3496546529145372</v>
      </c>
      <c r="FP13" s="47">
        <v>2.4311533694693721</v>
      </c>
      <c r="FQ13" s="47">
        <v>2.3274776843003475</v>
      </c>
      <c r="FR13" s="47">
        <v>2.2149770931279562</v>
      </c>
      <c r="FS13" s="47">
        <v>2.2408478845994608</v>
      </c>
      <c r="FT13" s="47">
        <v>2.2454769946070976</v>
      </c>
      <c r="FU13" s="47">
        <v>2.2502926991212613</v>
      </c>
      <c r="FV13" s="47">
        <v>2.1705870360847457</v>
      </c>
      <c r="FW13" s="47">
        <v>2.0955448638748786</v>
      </c>
      <c r="FX13" s="47">
        <v>2.0320606360153746</v>
      </c>
      <c r="FY13" s="47">
        <v>2.0408192634479541</v>
      </c>
      <c r="FZ13" s="47">
        <v>1.9811263120352827</v>
      </c>
      <c r="GA13" s="47">
        <v>2.0207342760059479</v>
      </c>
      <c r="GB13" s="47">
        <v>1.9273511105233967</v>
      </c>
      <c r="GC13" s="47">
        <v>1.8385462477253165</v>
      </c>
      <c r="GD13" s="47">
        <v>1.8859389333748118</v>
      </c>
      <c r="GE13" s="47">
        <v>1.6396604260354939</v>
      </c>
      <c r="GF13" s="47">
        <v>1.7509130302936915</v>
      </c>
      <c r="GG13" s="47">
        <v>1.6314793515049864</v>
      </c>
      <c r="GH13" s="47">
        <v>1.67324177913779</v>
      </c>
      <c r="GI13" s="47">
        <v>1.60262838412965</v>
      </c>
      <c r="GJ13" s="47">
        <v>1.57682761411385</v>
      </c>
      <c r="GK13" s="47">
        <v>1.6127648648350299</v>
      </c>
      <c r="GL13" s="47">
        <v>1.74108179097676</v>
      </c>
      <c r="GM13" s="47">
        <v>1.7147049164663</v>
      </c>
      <c r="GN13" s="47">
        <v>1.7492535530854401</v>
      </c>
      <c r="GO13" s="47">
        <v>1.7106085025992199</v>
      </c>
      <c r="GP13" s="47">
        <v>1.7040236337655399</v>
      </c>
      <c r="GQ13" s="47">
        <v>1.7040236337655399</v>
      </c>
      <c r="GR13" s="47">
        <v>1.7567817144660001</v>
      </c>
      <c r="GS13" s="47">
        <v>1.7089839230084101</v>
      </c>
      <c r="GT13" s="47">
        <v>1.6145506258825699</v>
      </c>
      <c r="GU13" s="47">
        <v>1.5492263714263399</v>
      </c>
      <c r="GV13" s="47">
        <v>1.5659820177852499</v>
      </c>
      <c r="GW13" s="47">
        <v>1.54335119671726</v>
      </c>
      <c r="GX13" s="47">
        <v>1.5254980847592801</v>
      </c>
      <c r="GY13" s="47">
        <v>1.5714194254621101</v>
      </c>
      <c r="GZ13" s="47">
        <v>1.56316894237486</v>
      </c>
      <c r="HA13" s="47">
        <v>1.49248390141881</v>
      </c>
      <c r="HB13" s="47">
        <v>1.48373358363344</v>
      </c>
      <c r="HC13" s="47">
        <v>1.4761078312809901</v>
      </c>
      <c r="HD13" s="47">
        <v>1.4660195075040301</v>
      </c>
      <c r="HE13" s="47">
        <v>1.4520519725412699</v>
      </c>
      <c r="HF13" s="47">
        <v>1.4275776099350801</v>
      </c>
      <c r="HG13" s="47">
        <v>1.4327143698809599</v>
      </c>
      <c r="HH13" s="47">
        <v>1.2991849736038199</v>
      </c>
      <c r="HI13" s="47">
        <v>1.3094628270912201</v>
      </c>
      <c r="HJ13" s="47">
        <v>1.3119303889859799</v>
      </c>
      <c r="HK13" s="47">
        <v>1.3254967567361</v>
      </c>
      <c r="HL13" s="47">
        <v>1.36641120671591</v>
      </c>
      <c r="HM13" s="47">
        <v>1.40085225416074</v>
      </c>
      <c r="HN13" s="47">
        <v>1.41441170820335</v>
      </c>
      <c r="HO13" s="47">
        <v>1.4287522670800299</v>
      </c>
      <c r="HP13" s="47">
        <v>1.50354091535845</v>
      </c>
      <c r="HQ13" s="47">
        <v>1.56562917124798</v>
      </c>
      <c r="HR13" s="47">
        <v>1.5955021291628799</v>
      </c>
      <c r="HS13" s="47">
        <v>1.63928747580419</v>
      </c>
      <c r="HT13" s="47">
        <v>1.78452736329281</v>
      </c>
      <c r="HU13" s="47">
        <v>1.8713594672178999</v>
      </c>
      <c r="HV13" s="47">
        <v>1.8876366900172199</v>
      </c>
      <c r="HW13" s="47">
        <v>1.9459297546480301</v>
      </c>
      <c r="HX13" s="47">
        <v>1.95537340307257</v>
      </c>
      <c r="HY13" s="47">
        <v>1.97137998982887</v>
      </c>
      <c r="HZ13" s="47">
        <v>1.99601877899684</v>
      </c>
      <c r="IA13" s="47">
        <v>2.3770872626134101</v>
      </c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</row>
    <row r="14" spans="1:451 16010:16011">
      <c r="A14" s="20" t="s">
        <v>271</v>
      </c>
      <c r="B14" s="33" t="s">
        <v>218</v>
      </c>
      <c r="C14" s="20" t="s">
        <v>271</v>
      </c>
      <c r="D14" s="43">
        <v>5.84</v>
      </c>
      <c r="E14" s="44">
        <v>5.58</v>
      </c>
      <c r="F14" s="44">
        <v>6.47</v>
      </c>
      <c r="G14" s="44">
        <v>6.68</v>
      </c>
      <c r="H14" s="44">
        <v>6.72</v>
      </c>
      <c r="I14" s="44">
        <v>6.46</v>
      </c>
      <c r="J14" s="44">
        <v>6.47</v>
      </c>
      <c r="K14" s="44">
        <v>6.6</v>
      </c>
      <c r="L14" s="44">
        <v>6.66</v>
      </c>
      <c r="M14" s="44">
        <v>7.1</v>
      </c>
      <c r="N14" s="44">
        <v>7.46</v>
      </c>
      <c r="O14" s="44">
        <v>7.7314486018350541</v>
      </c>
      <c r="P14" s="44">
        <v>6.7709291470640256</v>
      </c>
      <c r="Q14" s="44">
        <v>6.8273483971875217</v>
      </c>
      <c r="R14" s="44">
        <v>6.7943042147931569</v>
      </c>
      <c r="S14" s="44">
        <v>8.4241047755958292</v>
      </c>
      <c r="T14" s="44">
        <v>8.6479797914899734</v>
      </c>
      <c r="U14" s="44">
        <v>6.9777276532268449</v>
      </c>
      <c r="V14" s="44">
        <v>7.41</v>
      </c>
      <c r="W14" s="44">
        <v>7.3618534350587428</v>
      </c>
      <c r="X14" s="44">
        <v>7.7405032637998916</v>
      </c>
      <c r="Y14" s="44">
        <v>6.7258730094161328</v>
      </c>
      <c r="Z14" s="44">
        <v>7.2258965261364629</v>
      </c>
      <c r="AA14" s="44">
        <v>6.7896227618418168</v>
      </c>
      <c r="AB14" s="44">
        <v>6.7421735630714519</v>
      </c>
      <c r="AC14" s="44">
        <v>8.5</v>
      </c>
      <c r="AD14" s="44">
        <v>7.66</v>
      </c>
      <c r="AE14" s="44">
        <v>8.7799999999999994</v>
      </c>
      <c r="AF14" s="44">
        <v>7.22</v>
      </c>
      <c r="AG14" s="44">
        <v>8.84</v>
      </c>
      <c r="AH14" s="44">
        <v>9.1359006420787967</v>
      </c>
      <c r="AI14" s="44">
        <v>9.2816876120291241</v>
      </c>
      <c r="AJ14" s="44">
        <v>9.6260222337578192</v>
      </c>
      <c r="AK14" s="44">
        <v>9.9004758667621768</v>
      </c>
      <c r="AL14" s="44">
        <v>9.474465458299866</v>
      </c>
      <c r="AM14" s="44">
        <v>8.2168012899305118</v>
      </c>
      <c r="AN14" s="44">
        <v>7.7041832612149346</v>
      </c>
      <c r="AO14" s="44">
        <v>7.6765779833926802</v>
      </c>
      <c r="AP14" s="44">
        <v>7.5515082736140222</v>
      </c>
      <c r="AQ14" s="44">
        <v>6.6233706810478852</v>
      </c>
      <c r="AR14" s="44">
        <v>5.5836161791012486</v>
      </c>
      <c r="AS14" s="44">
        <v>5.6147003204224033</v>
      </c>
      <c r="AT14" s="44">
        <v>5.6870478733891758</v>
      </c>
      <c r="AU14" s="44">
        <v>5.1085504807286082</v>
      </c>
      <c r="AV14" s="44">
        <v>5.19</v>
      </c>
      <c r="AW14" s="44">
        <v>5.152284375804272</v>
      </c>
      <c r="AX14" s="44">
        <v>5.1282349630475013</v>
      </c>
      <c r="AY14" s="44">
        <v>5.1611660536694872</v>
      </c>
      <c r="AZ14" s="44">
        <v>5.1748835926489232</v>
      </c>
      <c r="BA14" s="44">
        <v>5.4008154998240547</v>
      </c>
      <c r="BB14" s="44">
        <v>5.519123955893261</v>
      </c>
      <c r="BC14" s="44">
        <v>5.6031818770337773</v>
      </c>
      <c r="BD14" s="44">
        <v>6.775811982749163</v>
      </c>
      <c r="BE14" s="44">
        <v>6.3951611947477307</v>
      </c>
      <c r="BF14" s="44">
        <v>6.0904765786835</v>
      </c>
      <c r="BG14" s="44">
        <v>6.1945631976303677</v>
      </c>
      <c r="BH14" s="44">
        <v>4.8453775102855925</v>
      </c>
      <c r="BI14" s="44">
        <v>4.9371418605565029</v>
      </c>
      <c r="BJ14" s="44">
        <v>4.7922252658994529</v>
      </c>
      <c r="BK14" s="44">
        <v>5.8098047357939899</v>
      </c>
      <c r="BL14" s="44">
        <v>5.8641526072663108</v>
      </c>
      <c r="BM14" s="44">
        <v>5.9756230773076453</v>
      </c>
      <c r="BN14" s="44">
        <v>5.9749098989532543</v>
      </c>
      <c r="BO14" s="44">
        <v>5.9173465613537948</v>
      </c>
      <c r="BP14" s="44">
        <v>5.8827100695263406</v>
      </c>
      <c r="BQ14" s="44">
        <v>6.0407036416590598</v>
      </c>
      <c r="BR14" s="44">
        <v>5.9662608626346918</v>
      </c>
      <c r="BS14" s="44">
        <v>5.7765675087268651</v>
      </c>
      <c r="BT14" s="44">
        <v>6.01</v>
      </c>
      <c r="BU14" s="44">
        <v>5.661037524559597</v>
      </c>
      <c r="BV14" s="44">
        <v>5.5780180116310394</v>
      </c>
      <c r="BW14" s="44">
        <v>5.7166487390003429</v>
      </c>
      <c r="BX14" s="44">
        <v>5.4308016628086158</v>
      </c>
      <c r="BY14" s="44">
        <v>6.2703950897978995</v>
      </c>
      <c r="BZ14" s="44">
        <v>5.0703228571505683</v>
      </c>
      <c r="CA14" s="44">
        <v>7.1802072318484012</v>
      </c>
      <c r="CB14" s="44">
        <v>6.2836781823653327</v>
      </c>
      <c r="CC14" s="44">
        <v>9.0331255904485221</v>
      </c>
      <c r="CD14" s="44">
        <v>7.8812327661529062</v>
      </c>
      <c r="CE14" s="44">
        <v>8.1387277666819369</v>
      </c>
      <c r="CF14" s="44">
        <v>7.4578437236393968</v>
      </c>
      <c r="CG14" s="44">
        <v>7.4268919531707231</v>
      </c>
      <c r="CH14" s="44">
        <v>8.0369622123414821</v>
      </c>
      <c r="CI14" s="44">
        <v>7.5255626229851842</v>
      </c>
      <c r="CJ14" s="44">
        <v>8.0226251467248701</v>
      </c>
      <c r="CK14" s="44">
        <v>7.0188700595823184</v>
      </c>
      <c r="CL14" s="44">
        <v>7.4053675711002871</v>
      </c>
      <c r="CM14" s="44">
        <v>6.9856642074961286</v>
      </c>
      <c r="CN14" s="44">
        <v>6.1330823106695673</v>
      </c>
      <c r="CO14" s="44">
        <v>5.5668699691795807</v>
      </c>
      <c r="CP14" s="44">
        <v>5.2692832941745946</v>
      </c>
      <c r="CQ14" s="44">
        <v>5.1128874894459146</v>
      </c>
      <c r="CR14" s="44">
        <v>4.4437821131277593</v>
      </c>
      <c r="CS14" s="44">
        <v>5.3210243679308018</v>
      </c>
      <c r="CT14" s="44">
        <v>4.2689779700784465</v>
      </c>
      <c r="CU14" s="44">
        <v>3.7882308826049225</v>
      </c>
      <c r="CV14" s="44">
        <v>3.7575704877610581</v>
      </c>
      <c r="CW14" s="44">
        <v>3.6885317049896607</v>
      </c>
      <c r="CX14" s="44">
        <v>4.4778720215932086</v>
      </c>
      <c r="CY14" s="44">
        <v>4.5564254248245666</v>
      </c>
      <c r="CZ14" s="44">
        <v>4.6177722738978355</v>
      </c>
      <c r="DA14" s="44">
        <v>4.2696659665013037</v>
      </c>
      <c r="DB14" s="44">
        <v>5.219457786353356</v>
      </c>
      <c r="DC14" s="44">
        <v>3.7703048086665034</v>
      </c>
      <c r="DD14" s="44">
        <v>4.1572514385842032</v>
      </c>
      <c r="DE14" s="44">
        <v>4.4146000072770377</v>
      </c>
      <c r="DF14" s="44">
        <v>4.8337205144407527</v>
      </c>
      <c r="DG14" s="44">
        <v>3.7096148152524702</v>
      </c>
      <c r="DH14" s="44">
        <v>3.0835862261532743</v>
      </c>
      <c r="DI14" s="44">
        <v>2.978586470819113</v>
      </c>
      <c r="DJ14" s="44">
        <v>3.3488763422166188</v>
      </c>
      <c r="DK14" s="44">
        <v>3.3877192238702989</v>
      </c>
      <c r="DL14" s="44">
        <v>3.4783787550976464</v>
      </c>
      <c r="DM14" s="44">
        <v>3.474920476434824</v>
      </c>
      <c r="DN14" s="44">
        <v>2.8866963784782094</v>
      </c>
      <c r="DO14" s="44">
        <v>3.6936950843113308</v>
      </c>
      <c r="DP14" s="44">
        <v>3.4514250245718814</v>
      </c>
      <c r="DQ14" s="44">
        <v>3.5329090887603787</v>
      </c>
      <c r="DR14" s="44">
        <v>3.2669837170973315</v>
      </c>
      <c r="DS14" s="44">
        <v>4.764905113804569</v>
      </c>
      <c r="DT14" s="44">
        <v>5.9528223564294018</v>
      </c>
      <c r="DU14" s="44">
        <v>6.0006057991105948</v>
      </c>
      <c r="DV14" s="44">
        <v>4.3600000000000003</v>
      </c>
      <c r="DW14" s="44">
        <v>4.3431561069736899</v>
      </c>
      <c r="DX14" s="44">
        <v>4.3121756673446896</v>
      </c>
      <c r="DY14" s="44">
        <v>3.9255690724022898</v>
      </c>
      <c r="DZ14" s="44">
        <v>4.0294703737894499</v>
      </c>
      <c r="EA14" s="44">
        <v>4.1310869622254103</v>
      </c>
      <c r="EB14" s="44">
        <v>4.0051811622126703</v>
      </c>
      <c r="EC14" s="44">
        <v>3.9908161741466599</v>
      </c>
      <c r="ED14" s="44">
        <v>5.3013551740632003</v>
      </c>
      <c r="EE14" s="44">
        <v>5.2280765987427804</v>
      </c>
      <c r="EF14" s="44">
        <v>4.9678116337588598</v>
      </c>
      <c r="EG14" s="44">
        <v>4.80731400651716</v>
      </c>
      <c r="EH14" s="44">
        <v>3.7156025250933</v>
      </c>
      <c r="EI14" s="44">
        <v>3.1498093614374301</v>
      </c>
      <c r="EJ14" s="44">
        <v>3.37</v>
      </c>
      <c r="EK14" s="44">
        <v>3.4169223727224298</v>
      </c>
      <c r="EL14" s="44">
        <v>3.1692924876830237</v>
      </c>
      <c r="EM14" s="44">
        <v>3.4979404745448477</v>
      </c>
      <c r="EN14" s="44">
        <v>3.4693955936369001</v>
      </c>
      <c r="EO14" s="44">
        <v>3.3581785508194137</v>
      </c>
      <c r="EP14" s="44">
        <v>3.7723449673879887</v>
      </c>
      <c r="EQ14" s="44">
        <v>3.1999984603845304</v>
      </c>
      <c r="ER14" s="44">
        <v>3.2000024818375503</v>
      </c>
      <c r="ES14" s="44">
        <v>3.3383061693595559</v>
      </c>
      <c r="ET14" s="44">
        <v>3.0502399573772987</v>
      </c>
      <c r="EU14" s="44">
        <v>3.0194215797580903</v>
      </c>
      <c r="EV14" s="44">
        <v>2.9425310640630875</v>
      </c>
      <c r="EW14" s="44">
        <v>2.9134166091861862</v>
      </c>
      <c r="EX14" s="44">
        <v>2.8734965636281773</v>
      </c>
      <c r="EY14" s="44">
        <v>2.8586544186691869</v>
      </c>
      <c r="EZ14" s="44">
        <v>2.815072161776464</v>
      </c>
      <c r="FA14" s="44">
        <v>2.7790605152901549</v>
      </c>
      <c r="FB14" s="44">
        <v>1.3613012736516135</v>
      </c>
      <c r="FC14" s="44">
        <v>1.3679276296996576</v>
      </c>
      <c r="FD14" s="44">
        <v>1.3893405090269959</v>
      </c>
      <c r="FE14" s="47">
        <v>1.4069779861606102</v>
      </c>
      <c r="FF14" s="47">
        <v>1.4016717091344841</v>
      </c>
      <c r="FG14" s="47">
        <v>1.3955673034248857</v>
      </c>
      <c r="FH14" s="47">
        <v>1.3813073236072373</v>
      </c>
      <c r="FI14" s="47">
        <v>1.3531217870604457</v>
      </c>
      <c r="FJ14" s="47">
        <v>1.3314495078884421</v>
      </c>
      <c r="FK14" s="47">
        <v>1.2993692241944239</v>
      </c>
      <c r="FL14" s="47">
        <v>1.332990137748195</v>
      </c>
      <c r="FM14" s="47">
        <v>1.3362584554668777</v>
      </c>
      <c r="FN14" s="47">
        <v>1.2151208646546672</v>
      </c>
      <c r="FO14" s="47">
        <v>1.2141142285237481</v>
      </c>
      <c r="FP14" s="47">
        <v>1.2545410720049905</v>
      </c>
      <c r="FQ14" s="47">
        <v>1.427668784333278</v>
      </c>
      <c r="FR14" s="47">
        <v>1.2553926235279909</v>
      </c>
      <c r="FS14" s="47">
        <v>1.4292894759783836</v>
      </c>
      <c r="FT14" s="47">
        <v>1.4461026434354141</v>
      </c>
      <c r="FU14" s="47">
        <v>1.4789418739780307</v>
      </c>
      <c r="FV14" s="47">
        <v>1.4107059622787295</v>
      </c>
      <c r="FW14" s="47">
        <v>1.355262949089737</v>
      </c>
      <c r="FX14" s="47">
        <v>1.3300240185729719</v>
      </c>
      <c r="FY14" s="47">
        <v>1.3509494056839262</v>
      </c>
      <c r="FZ14" s="47">
        <v>1.2702907874924532</v>
      </c>
      <c r="GA14" s="47">
        <v>1.3447705243099564</v>
      </c>
      <c r="GB14" s="47">
        <v>1.2568812895333508</v>
      </c>
      <c r="GC14" s="47">
        <v>1.1049377230410617</v>
      </c>
      <c r="GD14" s="47">
        <v>1.1618651865391341</v>
      </c>
      <c r="GE14" s="47">
        <v>0.83163284280458405</v>
      </c>
      <c r="GF14" s="47">
        <v>1.1320382712028567</v>
      </c>
      <c r="GG14" s="47">
        <v>1.0728130589594966</v>
      </c>
      <c r="GH14" s="47">
        <v>1.08087717300938</v>
      </c>
      <c r="GI14" s="47">
        <v>1.05424237121611</v>
      </c>
      <c r="GJ14" s="47">
        <v>1.0019076183056901</v>
      </c>
      <c r="GK14" s="47">
        <v>0.933539642770292</v>
      </c>
      <c r="GL14" s="47">
        <v>1.11116307579248</v>
      </c>
      <c r="GM14" s="47">
        <v>1.06580441328352</v>
      </c>
      <c r="GN14" s="47">
        <v>1.0656660882931099</v>
      </c>
      <c r="GO14" s="47">
        <v>1.0458319558267399</v>
      </c>
      <c r="GP14" s="47">
        <v>1.0380402048730399</v>
      </c>
      <c r="GQ14" s="47">
        <v>1.0380402048730399</v>
      </c>
      <c r="GR14" s="47">
        <v>1.1553023843207</v>
      </c>
      <c r="GS14" s="47">
        <v>1.0657250522674799</v>
      </c>
      <c r="GT14" s="47">
        <v>1.06457717758879</v>
      </c>
      <c r="GU14" s="47">
        <v>0.97068739937332604</v>
      </c>
      <c r="GV14" s="47">
        <v>0.96236753291201604</v>
      </c>
      <c r="GW14" s="47">
        <v>0.97684654152401995</v>
      </c>
      <c r="GX14" s="47">
        <v>0.96397999622243602</v>
      </c>
      <c r="GY14" s="47">
        <v>1.02461306236918</v>
      </c>
      <c r="GZ14" s="47">
        <v>1.0358664668778801</v>
      </c>
      <c r="HA14" s="47">
        <v>0.99622831656321698</v>
      </c>
      <c r="HB14" s="47">
        <v>0.98994045930902796</v>
      </c>
      <c r="HC14" s="47">
        <v>0.99133837896383104</v>
      </c>
      <c r="HD14" s="47">
        <v>0.99322551460534403</v>
      </c>
      <c r="HE14" s="47">
        <v>0.97018893360459801</v>
      </c>
      <c r="HF14" s="47">
        <v>0.996519314348148</v>
      </c>
      <c r="HG14" s="47">
        <v>1.02086261782002</v>
      </c>
      <c r="HH14" s="47">
        <v>0.81455582492560197</v>
      </c>
      <c r="HI14" s="47">
        <v>0.82417762573693099</v>
      </c>
      <c r="HJ14" s="47">
        <v>0.82028588732005303</v>
      </c>
      <c r="HK14" s="47">
        <v>0.82306479604705596</v>
      </c>
      <c r="HL14" s="47">
        <v>0.88817232200158702</v>
      </c>
      <c r="HM14" s="47">
        <v>0.88872896974808102</v>
      </c>
      <c r="HN14" s="47">
        <v>0.91211793176338496</v>
      </c>
      <c r="HO14" s="47">
        <v>0.91312713738119899</v>
      </c>
      <c r="HP14" s="47">
        <v>1.14381362487024</v>
      </c>
      <c r="HQ14" s="47">
        <v>1.24758789404363</v>
      </c>
      <c r="HR14" s="47">
        <v>1.2891433726879</v>
      </c>
      <c r="HS14" s="47">
        <v>1.36460904307526</v>
      </c>
      <c r="HT14" s="47">
        <v>1.6738695689371299</v>
      </c>
      <c r="HU14" s="47">
        <v>1.83796366819692</v>
      </c>
      <c r="HV14" s="47">
        <v>1.8507020325560799</v>
      </c>
      <c r="HW14" s="47">
        <v>1.9203047535183999</v>
      </c>
      <c r="HX14" s="47">
        <v>1.8944552074540799</v>
      </c>
      <c r="HY14" s="47">
        <v>1.9077567170628</v>
      </c>
      <c r="HZ14" s="47">
        <v>1.9207650790483599</v>
      </c>
      <c r="IA14" s="47">
        <v>2.4252314360768898</v>
      </c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</row>
    <row r="15" spans="1:451 16010:16011">
      <c r="A15" s="20" t="s">
        <v>272</v>
      </c>
      <c r="B15" s="33" t="s">
        <v>221</v>
      </c>
      <c r="C15" s="20" t="s">
        <v>272</v>
      </c>
      <c r="D15" s="43">
        <v>11.11</v>
      </c>
      <c r="E15" s="44">
        <v>10.53</v>
      </c>
      <c r="F15" s="44">
        <v>10.43</v>
      </c>
      <c r="G15" s="44">
        <v>10.41</v>
      </c>
      <c r="H15" s="44">
        <v>10.35</v>
      </c>
      <c r="I15" s="44">
        <v>10.33</v>
      </c>
      <c r="J15" s="44">
        <v>10.31</v>
      </c>
      <c r="K15" s="44">
        <v>10.52</v>
      </c>
      <c r="L15" s="44">
        <v>11.01</v>
      </c>
      <c r="M15" s="44">
        <v>10.45</v>
      </c>
      <c r="N15" s="44">
        <v>10.62</v>
      </c>
      <c r="O15" s="44">
        <v>10.664399518716349</v>
      </c>
      <c r="P15" s="44">
        <v>10.753455432885044</v>
      </c>
      <c r="Q15" s="44">
        <v>10.71</v>
      </c>
      <c r="R15" s="44">
        <v>10.88</v>
      </c>
      <c r="S15" s="44">
        <v>10.938439396149164</v>
      </c>
      <c r="T15" s="44">
        <v>11.18800192334688</v>
      </c>
      <c r="U15" s="44">
        <v>11.156915667641059</v>
      </c>
      <c r="V15" s="44">
        <v>11.2</v>
      </c>
      <c r="W15" s="44">
        <v>11.345418678018929</v>
      </c>
      <c r="X15" s="44">
        <v>11.429867077598477</v>
      </c>
      <c r="Y15" s="44">
        <v>11.465307921816963</v>
      </c>
      <c r="Z15" s="44">
        <v>11.821780452865452</v>
      </c>
      <c r="AA15" s="44">
        <v>11.665148380184625</v>
      </c>
      <c r="AB15" s="44">
        <v>11.695936618144469</v>
      </c>
      <c r="AC15" s="44">
        <v>11.75</v>
      </c>
      <c r="AD15" s="44">
        <v>11.75</v>
      </c>
      <c r="AE15" s="44">
        <v>11.84</v>
      </c>
      <c r="AF15" s="44">
        <v>12.46</v>
      </c>
      <c r="AG15" s="44">
        <v>12.51</v>
      </c>
      <c r="AH15" s="44">
        <v>12.74592786887335</v>
      </c>
      <c r="AI15" s="44">
        <v>12.751509159271365</v>
      </c>
      <c r="AJ15" s="44">
        <v>12.805181752412615</v>
      </c>
      <c r="AK15" s="44">
        <v>12.773002952251325</v>
      </c>
      <c r="AL15" s="44">
        <v>12.821144945261286</v>
      </c>
      <c r="AM15" s="44">
        <v>12.939537236138426</v>
      </c>
      <c r="AN15" s="44">
        <v>12.645460785969638</v>
      </c>
      <c r="AO15" s="44">
        <v>12.469371496756848</v>
      </c>
      <c r="AP15" s="44">
        <v>12.497482621798552</v>
      </c>
      <c r="AQ15" s="44">
        <v>12.673578182570997</v>
      </c>
      <c r="AR15" s="44">
        <v>12.582756939764328</v>
      </c>
      <c r="AS15" s="44">
        <v>12.704516116070694</v>
      </c>
      <c r="AT15" s="44">
        <v>12.939102792020952</v>
      </c>
      <c r="AU15" s="44">
        <v>12.96577958062622</v>
      </c>
      <c r="AV15" s="44">
        <v>12.93</v>
      </c>
      <c r="AW15" s="44">
        <v>12.500065891453298</v>
      </c>
      <c r="AX15" s="44">
        <v>12.533432001106886</v>
      </c>
      <c r="AY15" s="44">
        <v>12.658972303437269</v>
      </c>
      <c r="AZ15" s="44">
        <v>12.715148434108549</v>
      </c>
      <c r="BA15" s="44">
        <v>12.42737589511259</v>
      </c>
      <c r="BB15" s="44">
        <v>12.363096754431648</v>
      </c>
      <c r="BC15" s="44">
        <v>12.351351979184145</v>
      </c>
      <c r="BD15" s="44">
        <v>12.617052484987603</v>
      </c>
      <c r="BE15" s="44">
        <v>12.507419210368509</v>
      </c>
      <c r="BF15" s="44">
        <v>12.312400207198134</v>
      </c>
      <c r="BG15" s="44">
        <v>12.532787937305654</v>
      </c>
      <c r="BH15" s="44">
        <v>12.296578530814406</v>
      </c>
      <c r="BI15" s="44">
        <v>12.4502440956194</v>
      </c>
      <c r="BJ15" s="44">
        <v>12.502775785907172</v>
      </c>
      <c r="BK15" s="44">
        <v>12.5884777156938</v>
      </c>
      <c r="BL15" s="44">
        <v>12.409959689183946</v>
      </c>
      <c r="BM15" s="44">
        <v>12.276841085731483</v>
      </c>
      <c r="BN15" s="44">
        <v>12.543815137378688</v>
      </c>
      <c r="BO15" s="44">
        <v>12.535844294359064</v>
      </c>
      <c r="BP15" s="44">
        <v>12.583682906541197</v>
      </c>
      <c r="BQ15" s="44">
        <v>12.449832483850757</v>
      </c>
      <c r="BR15" s="44">
        <v>12.646287414360298</v>
      </c>
      <c r="BS15" s="44">
        <v>12.543763360875852</v>
      </c>
      <c r="BT15" s="44">
        <v>12.52</v>
      </c>
      <c r="BU15" s="44">
        <v>12.113678302407148</v>
      </c>
      <c r="BV15" s="44">
        <v>12.083153565685102</v>
      </c>
      <c r="BW15" s="44">
        <v>12.162003810946082</v>
      </c>
      <c r="BX15" s="44">
        <v>12.328501356674641</v>
      </c>
      <c r="BY15" s="44">
        <v>12.266544021828141</v>
      </c>
      <c r="BZ15" s="44">
        <v>12.11504682609521</v>
      </c>
      <c r="CA15" s="44">
        <v>12.077234689180234</v>
      </c>
      <c r="CB15" s="44">
        <v>11.486517012279446</v>
      </c>
      <c r="CC15" s="44">
        <v>11.293357126387447</v>
      </c>
      <c r="CD15" s="44">
        <v>11.496084570220887</v>
      </c>
      <c r="CE15" s="44">
        <v>11.148916828886813</v>
      </c>
      <c r="CF15" s="44">
        <v>11.2793423965075</v>
      </c>
      <c r="CG15" s="44">
        <v>11.385530177908894</v>
      </c>
      <c r="CH15" s="44">
        <v>11.588831892164311</v>
      </c>
      <c r="CI15" s="44">
        <v>11.330273752398396</v>
      </c>
      <c r="CJ15" s="44">
        <v>11.386434225039325</v>
      </c>
      <c r="CK15" s="44">
        <v>11.273037531139332</v>
      </c>
      <c r="CL15" s="44">
        <v>11.276091493702179</v>
      </c>
      <c r="CM15" s="44">
        <v>11.197288498206383</v>
      </c>
      <c r="CN15" s="44">
        <v>11.101419020288068</v>
      </c>
      <c r="CO15" s="44">
        <v>11.161036755039644</v>
      </c>
      <c r="CP15" s="44">
        <v>11.209029193822671</v>
      </c>
      <c r="CQ15" s="44">
        <v>10.984232430863429</v>
      </c>
      <c r="CR15" s="44">
        <v>10.975521345298196</v>
      </c>
      <c r="CS15" s="44">
        <v>10.953911835808951</v>
      </c>
      <c r="CT15" s="44">
        <v>10.818892911718407</v>
      </c>
      <c r="CU15" s="44">
        <v>10.844540147272028</v>
      </c>
      <c r="CV15" s="44">
        <v>10.836539138845092</v>
      </c>
      <c r="CW15" s="44">
        <v>10.751312632735752</v>
      </c>
      <c r="CX15" s="44">
        <v>10.714247613702417</v>
      </c>
      <c r="CY15" s="44">
        <v>10.702632111647652</v>
      </c>
      <c r="CZ15" s="44">
        <v>10.689397920129359</v>
      </c>
      <c r="DA15" s="44">
        <v>10.615497414693431</v>
      </c>
      <c r="DB15" s="44">
        <v>10.592219449793843</v>
      </c>
      <c r="DC15" s="44">
        <v>10.580463356532249</v>
      </c>
      <c r="DD15" s="44">
        <v>10.464236169998999</v>
      </c>
      <c r="DE15" s="44">
        <v>10.434668578367789</v>
      </c>
      <c r="DF15" s="44">
        <v>10.401520362502579</v>
      </c>
      <c r="DG15" s="44">
        <v>10.348435988208536</v>
      </c>
      <c r="DH15" s="44">
        <v>10.304374478067478</v>
      </c>
      <c r="DI15" s="44">
        <v>10.232093071299426</v>
      </c>
      <c r="DJ15" s="44">
        <v>10.188819827519346</v>
      </c>
      <c r="DK15" s="44">
        <v>10.236146305728376</v>
      </c>
      <c r="DL15" s="44">
        <v>10.131208816310421</v>
      </c>
      <c r="DM15" s="44">
        <v>10.158198613797207</v>
      </c>
      <c r="DN15" s="44">
        <v>10.099375877710417</v>
      </c>
      <c r="DO15" s="44">
        <v>10.058878373027779</v>
      </c>
      <c r="DP15" s="44">
        <v>10.03773795686304</v>
      </c>
      <c r="DQ15" s="44">
        <v>9.958660927243896</v>
      </c>
      <c r="DR15" s="44">
        <v>9.9849085698753282</v>
      </c>
      <c r="DS15" s="44">
        <v>9.9315990501960396</v>
      </c>
      <c r="DT15" s="44">
        <v>10.02173537264181</v>
      </c>
      <c r="DU15" s="44">
        <v>9.7765271699955179</v>
      </c>
      <c r="DV15" s="44">
        <v>10.050000000000001</v>
      </c>
      <c r="DW15" s="44">
        <v>9.5680047709059011</v>
      </c>
      <c r="DX15" s="44">
        <v>9.62180827859099</v>
      </c>
      <c r="DY15" s="44">
        <v>9.5101172093018</v>
      </c>
      <c r="DZ15" s="44">
        <v>9.5037009967457706</v>
      </c>
      <c r="EA15" s="44">
        <v>9.4775764627312604</v>
      </c>
      <c r="EB15" s="44">
        <v>9.3878252624301304</v>
      </c>
      <c r="EC15" s="44">
        <v>9.3303474155921293</v>
      </c>
      <c r="ED15" s="44">
        <v>9.2949228774535708</v>
      </c>
      <c r="EE15" s="44">
        <v>9.2071343676025101</v>
      </c>
      <c r="EF15" s="44">
        <v>9.0035814438149799</v>
      </c>
      <c r="EG15" s="44">
        <v>8.8283399301766092</v>
      </c>
      <c r="EH15" s="44">
        <v>8.6635297080296905</v>
      </c>
      <c r="EI15" s="44">
        <v>8.2851992820996205</v>
      </c>
      <c r="EJ15" s="44">
        <v>7.7503811665346856</v>
      </c>
      <c r="EK15" s="44">
        <v>7.0774900522169695</v>
      </c>
      <c r="EL15" s="44">
        <v>6.9408055553740384</v>
      </c>
      <c r="EM15" s="44">
        <v>6.7295003183593227</v>
      </c>
      <c r="EN15" s="44">
        <v>6.3265743362772895</v>
      </c>
      <c r="EO15" s="44">
        <v>6.1708415936312697</v>
      </c>
      <c r="EP15" s="44">
        <v>6.015951359562556</v>
      </c>
      <c r="EQ15" s="44">
        <v>5.6427160587586167</v>
      </c>
      <c r="ER15" s="44">
        <v>5.595330670812884</v>
      </c>
      <c r="ES15" s="44">
        <v>5.4447996540986772</v>
      </c>
      <c r="ET15" s="44">
        <v>5.2541574637976138</v>
      </c>
      <c r="EU15" s="44">
        <v>5.0165855006906739</v>
      </c>
      <c r="EV15" s="44">
        <v>4.8780255815958133</v>
      </c>
      <c r="EW15" s="44">
        <v>4.5549049360562126</v>
      </c>
      <c r="EX15" s="44">
        <v>4.4677640030507098</v>
      </c>
      <c r="EY15" s="44">
        <v>4.3637666340159438</v>
      </c>
      <c r="EZ15" s="44">
        <v>4.2976110213341485</v>
      </c>
      <c r="FA15" s="44">
        <v>4.2027598589473634</v>
      </c>
      <c r="FB15" s="44">
        <v>4.1488301026977297</v>
      </c>
      <c r="FC15" s="44">
        <v>4.1006115816854614</v>
      </c>
      <c r="FD15" s="44">
        <v>3.7592917737444038</v>
      </c>
      <c r="FE15" s="47">
        <v>3.6615058681605244</v>
      </c>
      <c r="FF15" s="47">
        <v>3.5819703066928352</v>
      </c>
      <c r="FG15" s="47">
        <v>3.5805219125545342</v>
      </c>
      <c r="FH15" s="47">
        <v>3.4322642710448812</v>
      </c>
      <c r="FI15" s="47">
        <v>3.2828157901601172</v>
      </c>
      <c r="FJ15" s="47">
        <v>3.2255902186543262</v>
      </c>
      <c r="FK15" s="47">
        <v>3.0445775600013549</v>
      </c>
      <c r="FL15" s="47">
        <v>2.9425758491637066</v>
      </c>
      <c r="FM15" s="47">
        <v>2.9178171162528415</v>
      </c>
      <c r="FN15" s="47">
        <v>2.9456516464407176</v>
      </c>
      <c r="FO15" s="47">
        <v>2.8874993462563303</v>
      </c>
      <c r="FP15" s="47">
        <v>2.9675531524505074</v>
      </c>
      <c r="FQ15" s="47">
        <v>2.6582295934355691</v>
      </c>
      <c r="FR15" s="47">
        <v>2.664718571123561</v>
      </c>
      <c r="FS15" s="47">
        <v>2.638533471522885</v>
      </c>
      <c r="FT15" s="47">
        <v>2.6352894896408405</v>
      </c>
      <c r="FU15" s="47">
        <v>2.6205844948830248</v>
      </c>
      <c r="FV15" s="47">
        <v>2.6248326513355997</v>
      </c>
      <c r="FW15" s="47">
        <v>2.5923082885847561</v>
      </c>
      <c r="FX15" s="47">
        <v>2.5668753460050069</v>
      </c>
      <c r="FY15" s="47">
        <v>2.5681439028906299</v>
      </c>
      <c r="FZ15" s="47">
        <v>2.5610658038835643</v>
      </c>
      <c r="GA15" s="47">
        <v>2.5363342173027994</v>
      </c>
      <c r="GB15" s="47">
        <v>2.4481030822379446</v>
      </c>
      <c r="GC15" s="47">
        <v>2.4042446214286128</v>
      </c>
      <c r="GD15" s="47">
        <v>2.3876162374520535</v>
      </c>
      <c r="GE15" s="47">
        <v>2.2965639670743805</v>
      </c>
      <c r="GF15" s="47">
        <v>2.2033361714460113</v>
      </c>
      <c r="GG15" s="47">
        <v>2.0615095051474328</v>
      </c>
      <c r="GH15" s="47">
        <v>2.1204394998235299</v>
      </c>
      <c r="GI15" s="47">
        <v>2.0610901758995999</v>
      </c>
      <c r="GJ15" s="47">
        <v>2.07942305068475</v>
      </c>
      <c r="GK15" s="47">
        <v>2.07605302086648</v>
      </c>
      <c r="GL15" s="47">
        <v>2.0953665853832102</v>
      </c>
      <c r="GM15" s="47">
        <v>2.1037491081329902</v>
      </c>
      <c r="GN15" s="47">
        <v>2.1745946100846401</v>
      </c>
      <c r="GO15" s="47">
        <v>2.14868175260768</v>
      </c>
      <c r="GP15" s="47">
        <v>2.15441028545193</v>
      </c>
      <c r="GQ15" s="47">
        <v>2.15441028545193</v>
      </c>
      <c r="GR15" s="47">
        <v>2.1465960970203102</v>
      </c>
      <c r="GS15" s="47">
        <v>2.1449717586211801</v>
      </c>
      <c r="GT15" s="47">
        <v>1.9933694944818801</v>
      </c>
      <c r="GU15" s="47">
        <v>1.98283426413567</v>
      </c>
      <c r="GV15" s="47">
        <v>1.97234249251187</v>
      </c>
      <c r="GW15" s="47">
        <v>1.97089480949116</v>
      </c>
      <c r="GX15" s="47">
        <v>1.94975715090276</v>
      </c>
      <c r="GY15" s="47">
        <v>1.94384990849927</v>
      </c>
      <c r="GZ15" s="47">
        <v>1.92432790299495</v>
      </c>
      <c r="HA15" s="47">
        <v>1.8313182665969501</v>
      </c>
      <c r="HB15" s="47">
        <v>1.8144110323056599</v>
      </c>
      <c r="HC15" s="47">
        <v>1.7948221364291701</v>
      </c>
      <c r="HD15" s="47">
        <v>1.7797722608727</v>
      </c>
      <c r="HE15" s="47">
        <v>1.75348371979388</v>
      </c>
      <c r="HF15" s="47">
        <v>1.68897881332377</v>
      </c>
      <c r="HG15" s="47">
        <v>1.6767147727208001</v>
      </c>
      <c r="HH15" s="47">
        <v>1.65324585171044</v>
      </c>
      <c r="HI15" s="47">
        <v>1.66452657182915</v>
      </c>
      <c r="HJ15" s="47">
        <v>1.6753454996048101</v>
      </c>
      <c r="HK15" s="47">
        <v>1.6936474546906899</v>
      </c>
      <c r="HL15" s="47">
        <v>1.7300900450433601</v>
      </c>
      <c r="HM15" s="47">
        <v>1.7836424429980799</v>
      </c>
      <c r="HN15" s="47">
        <v>1.7884961683435301</v>
      </c>
      <c r="HO15" s="47">
        <v>1.8163516019983199</v>
      </c>
      <c r="HP15" s="47">
        <v>1.80059369703399</v>
      </c>
      <c r="HQ15" s="47">
        <v>1.83549579079396</v>
      </c>
      <c r="HR15" s="47">
        <v>1.85768296977543</v>
      </c>
      <c r="HS15" s="47">
        <v>1.8731617770578199</v>
      </c>
      <c r="HT15" s="47">
        <v>1.89121458438928</v>
      </c>
      <c r="HU15" s="47">
        <v>1.9040823902956301</v>
      </c>
      <c r="HV15" s="47">
        <v>1.9246553400842701</v>
      </c>
      <c r="HW15" s="47">
        <v>1.9718913574263</v>
      </c>
      <c r="HX15" s="47">
        <v>2.0168692739285201</v>
      </c>
      <c r="HY15" s="47">
        <v>2.0374316328800202</v>
      </c>
      <c r="HZ15" s="47">
        <v>2.0808809009780802</v>
      </c>
      <c r="IA15" s="47">
        <v>2.3187992380359499</v>
      </c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</row>
    <row r="16" spans="1:451 16010:16011">
      <c r="A16" s="20" t="s">
        <v>273</v>
      </c>
      <c r="B16" s="33" t="s">
        <v>222</v>
      </c>
      <c r="C16" s="20" t="s">
        <v>273</v>
      </c>
      <c r="D16" s="43">
        <v>7.37</v>
      </c>
      <c r="E16" s="44">
        <v>2.77</v>
      </c>
      <c r="F16" s="44">
        <v>1.9</v>
      </c>
      <c r="G16" s="44">
        <v>1.87</v>
      </c>
      <c r="H16" s="44">
        <v>1.95</v>
      </c>
      <c r="I16" s="44">
        <v>1.87</v>
      </c>
      <c r="J16" s="44">
        <v>1.53</v>
      </c>
      <c r="K16" s="44">
        <v>2.4300000000000002</v>
      </c>
      <c r="L16" s="44">
        <v>6.31</v>
      </c>
      <c r="M16" s="44">
        <v>6.83</v>
      </c>
      <c r="N16" s="44">
        <v>7.4726913998007891</v>
      </c>
      <c r="O16" s="44">
        <v>7.7812639454592798</v>
      </c>
      <c r="P16" s="44">
        <v>6.0755893660395746</v>
      </c>
      <c r="Q16" s="44">
        <v>6.7811774603353845</v>
      </c>
      <c r="R16" s="44">
        <v>9.2152964377124142</v>
      </c>
      <c r="S16" s="44">
        <v>10.921927091340814</v>
      </c>
      <c r="T16" s="44">
        <v>10.157713186011016</v>
      </c>
      <c r="U16" s="44">
        <v>7.3111488175350887</v>
      </c>
      <c r="V16" s="44">
        <v>2.8273675014560276</v>
      </c>
      <c r="W16" s="44">
        <v>10.636136106288214</v>
      </c>
      <c r="X16" s="44">
        <v>6.5059020235955938</v>
      </c>
      <c r="Y16" s="44">
        <v>5.406047771648443</v>
      </c>
      <c r="Z16" s="44">
        <v>5.5859428249446381</v>
      </c>
      <c r="AA16" s="44">
        <v>5.6665298979026026</v>
      </c>
      <c r="AB16" s="44">
        <v>6.1986568535494229</v>
      </c>
      <c r="AC16" s="44">
        <v>11.025785026210038</v>
      </c>
      <c r="AD16" s="44">
        <v>11.641820828258068</v>
      </c>
      <c r="AE16" s="44">
        <v>10.753812419244509</v>
      </c>
      <c r="AF16" s="44">
        <v>13.870724262918564</v>
      </c>
      <c r="AG16" s="44">
        <v>14.145283039100171</v>
      </c>
      <c r="AH16" s="44">
        <v>14.522262710514749</v>
      </c>
      <c r="AI16" s="44">
        <v>13.776926951437204</v>
      </c>
      <c r="AJ16" s="44">
        <v>13.728196274743187</v>
      </c>
      <c r="AK16" s="44">
        <v>11.725759693048669</v>
      </c>
      <c r="AL16" s="44">
        <v>11.4880203995482</v>
      </c>
      <c r="AM16" s="44">
        <v>12.567012606672662</v>
      </c>
      <c r="AN16" s="44">
        <v>6.7467707296788646</v>
      </c>
      <c r="AO16" s="44">
        <v>7.1077425276869572</v>
      </c>
      <c r="AP16" s="44">
        <v>7.3260253175658869</v>
      </c>
      <c r="AQ16" s="44">
        <v>6.5959563853422782</v>
      </c>
      <c r="AR16" s="44">
        <v>5.6969412284708971</v>
      </c>
      <c r="AS16" s="44">
        <v>5.7042599302819497</v>
      </c>
      <c r="AT16" s="44">
        <v>5.7137002026628823</v>
      </c>
      <c r="AU16" s="44">
        <v>5.2150869557811674</v>
      </c>
      <c r="AV16" s="44">
        <v>5.2353672989041948</v>
      </c>
      <c r="AW16" s="44">
        <v>5.2365885273161714</v>
      </c>
      <c r="AX16" s="44">
        <v>5.287325683604573</v>
      </c>
      <c r="AY16" s="44">
        <v>5.1204770920173459</v>
      </c>
      <c r="AZ16" s="44">
        <v>5.0961225730414972</v>
      </c>
      <c r="BA16" s="44">
        <v>5.1278963804746471</v>
      </c>
      <c r="BB16" s="44">
        <v>5.1418282558336372</v>
      </c>
      <c r="BC16" s="44">
        <v>5.2363573084869701</v>
      </c>
      <c r="BD16" s="44">
        <v>5.8507631354080569</v>
      </c>
      <c r="BE16" s="44">
        <v>5.7491171978654299</v>
      </c>
      <c r="BF16" s="44">
        <v>5.6973869787282831</v>
      </c>
      <c r="BG16" s="44">
        <v>5.6201613308901797</v>
      </c>
      <c r="BH16" s="44">
        <v>5.7362991057213284</v>
      </c>
      <c r="BI16" s="44">
        <v>5.7818168112929822</v>
      </c>
      <c r="BJ16" s="44">
        <v>5.6993803803681118</v>
      </c>
      <c r="BK16" s="44">
        <v>5.6368598269778341</v>
      </c>
      <c r="BL16" s="44">
        <v>5.3133007088672128</v>
      </c>
      <c r="BM16" s="44">
        <v>5.3099851372136424</v>
      </c>
      <c r="BN16" s="44">
        <v>5.3439707748211385</v>
      </c>
      <c r="BO16" s="44">
        <v>5.3509689942665855</v>
      </c>
      <c r="BP16" s="44">
        <v>5.3417968863238006</v>
      </c>
      <c r="BQ16" s="44">
        <v>5.4635600409927845</v>
      </c>
      <c r="BR16" s="44">
        <v>5.3711102111736695</v>
      </c>
      <c r="BS16" s="44">
        <v>5.436488389032589</v>
      </c>
      <c r="BT16" s="44">
        <v>5.4565661493991291</v>
      </c>
      <c r="BU16" s="44">
        <v>5.188054541252157</v>
      </c>
      <c r="BV16" s="44">
        <v>5.3977828646281729</v>
      </c>
      <c r="BW16" s="44">
        <v>5.4554838032237036</v>
      </c>
      <c r="BX16" s="44">
        <v>5.3554912950130413</v>
      </c>
      <c r="BY16" s="44">
        <v>12.631122567092516</v>
      </c>
      <c r="BZ16" s="44">
        <v>8.9248348375804909</v>
      </c>
      <c r="CA16" s="44">
        <v>7.3778263337310959</v>
      </c>
      <c r="CB16" s="44">
        <v>14.254232776822787</v>
      </c>
      <c r="CC16" s="44">
        <v>13.619197155386749</v>
      </c>
      <c r="CD16" s="44">
        <v>12.72626505295465</v>
      </c>
      <c r="CE16" s="44">
        <v>13.182406707576931</v>
      </c>
      <c r="CF16" s="44">
        <v>12.486014447285447</v>
      </c>
      <c r="CG16" s="44">
        <v>11.939928480757919</v>
      </c>
      <c r="CH16" s="44">
        <v>13.61401647820996</v>
      </c>
      <c r="CI16" s="44">
        <v>14.534934829314873</v>
      </c>
      <c r="CJ16" s="44">
        <v>15.067924130663858</v>
      </c>
      <c r="CK16" s="44">
        <v>11.013197682712764</v>
      </c>
      <c r="CL16" s="44">
        <v>13.88927922477237</v>
      </c>
      <c r="CM16" s="44">
        <v>10.135006167017339</v>
      </c>
      <c r="CN16" s="44">
        <v>8.2468467336683418</v>
      </c>
      <c r="CO16" s="44">
        <v>7.2785881943408421</v>
      </c>
      <c r="CP16" s="44">
        <v>6.8002710967848587</v>
      </c>
      <c r="CQ16" s="44">
        <v>8.1444725324252598</v>
      </c>
      <c r="CR16" s="44">
        <v>7.3533181821911189</v>
      </c>
      <c r="CS16" s="44">
        <v>7.1868585575823252</v>
      </c>
      <c r="CT16" s="44">
        <v>7.5077968221459317</v>
      </c>
      <c r="CU16" s="44">
        <v>7.3774882494166976</v>
      </c>
      <c r="CV16" s="44">
        <v>7.0510142704052914</v>
      </c>
      <c r="CW16" s="44">
        <v>11.000845396119887</v>
      </c>
      <c r="CX16" s="44">
        <v>6.9328140221569301</v>
      </c>
      <c r="CY16" s="44">
        <v>6.8229662713231782</v>
      </c>
      <c r="CZ16" s="44">
        <v>8.197909305064778</v>
      </c>
      <c r="DA16" s="44">
        <v>8.3498138560559187</v>
      </c>
      <c r="DB16" s="44">
        <v>8.7227307945154244</v>
      </c>
      <c r="DC16" s="44">
        <v>9.1719166544602295</v>
      </c>
      <c r="DD16" s="44">
        <v>8.2456686590225186</v>
      </c>
      <c r="DE16" s="44">
        <v>8.3372254857659058</v>
      </c>
      <c r="DF16" s="44">
        <v>7.7432300589448042</v>
      </c>
      <c r="DG16" s="44">
        <v>7.7904924586218289</v>
      </c>
      <c r="DH16" s="44">
        <v>6.896865653675567</v>
      </c>
      <c r="DI16" s="44">
        <v>9.2098806150917891</v>
      </c>
      <c r="DJ16" s="44">
        <v>7.5103105765117437</v>
      </c>
      <c r="DK16" s="44">
        <v>10.417659390643699</v>
      </c>
      <c r="DL16" s="44">
        <v>10.471747479390499</v>
      </c>
      <c r="DM16" s="44">
        <v>10.0317335459972</v>
      </c>
      <c r="DN16" s="44">
        <v>6.4189295318581214</v>
      </c>
      <c r="DO16" s="44">
        <v>6.5174869386801122</v>
      </c>
      <c r="DP16" s="44">
        <v>4.3035247690111209</v>
      </c>
      <c r="DQ16" s="44">
        <v>4.7672211632146153</v>
      </c>
      <c r="DR16" s="44">
        <v>5.3691616080384676</v>
      </c>
      <c r="DS16" s="44">
        <v>6.0314593116482635</v>
      </c>
      <c r="DT16" s="44">
        <v>5.1634575893160726</v>
      </c>
      <c r="DU16" s="44">
        <v>8.6687873140766758</v>
      </c>
      <c r="DV16" s="44">
        <v>7.96</v>
      </c>
      <c r="DW16" s="44">
        <v>6.5141263642913758</v>
      </c>
      <c r="DX16" s="44">
        <v>5.9010883612731719</v>
      </c>
      <c r="DY16" s="44">
        <v>4.3653642460994346</v>
      </c>
      <c r="DZ16" s="44">
        <v>4.9873162144579242</v>
      </c>
      <c r="EA16" s="44">
        <v>6.6607309417484357</v>
      </c>
      <c r="EB16" s="44">
        <v>6.9244353317262322</v>
      </c>
      <c r="EC16" s="44">
        <v>5.7949836737944462</v>
      </c>
      <c r="ED16" s="44">
        <v>5.7805183251703527</v>
      </c>
      <c r="EE16" s="44">
        <v>5.3303252916749031</v>
      </c>
      <c r="EF16" s="44">
        <v>4.8713095436916598</v>
      </c>
      <c r="EG16" s="44">
        <v>5.1652618225941165</v>
      </c>
      <c r="EH16" s="44">
        <v>4.4863289067993728</v>
      </c>
      <c r="EI16" s="44">
        <v>5.2751217356972271</v>
      </c>
      <c r="EJ16" s="44">
        <v>4.7287219684249902</v>
      </c>
      <c r="EK16" s="44">
        <v>1.8814267735419323</v>
      </c>
      <c r="EL16" s="44">
        <v>2.4303380635045109</v>
      </c>
      <c r="EM16" s="44">
        <v>2.0451574616020025</v>
      </c>
      <c r="EN16" s="44">
        <v>2.026441771179937</v>
      </c>
      <c r="EO16" s="44">
        <v>4.7270176607920318</v>
      </c>
      <c r="EP16" s="44">
        <v>2.3912564621828674</v>
      </c>
      <c r="EQ16" s="44">
        <v>2.672403285206792</v>
      </c>
      <c r="ER16" s="44">
        <v>3.4408928633970386</v>
      </c>
      <c r="ES16" s="44">
        <v>2.3451931661698167</v>
      </c>
      <c r="ET16" s="44">
        <v>1.9713064995892309</v>
      </c>
      <c r="EU16" s="44">
        <v>1.1979284597788766</v>
      </c>
      <c r="EV16" s="44">
        <v>2.3263826262059797</v>
      </c>
      <c r="EW16" s="44">
        <v>2.1941841363989654</v>
      </c>
      <c r="EX16" s="44">
        <v>2.8420986363345322</v>
      </c>
      <c r="EY16" s="44">
        <v>2.2807073380171761</v>
      </c>
      <c r="EZ16" s="44">
        <v>2.7601088666453233</v>
      </c>
      <c r="FA16" s="44">
        <v>1.0114896641329034</v>
      </c>
      <c r="FB16" s="44">
        <v>3.9905492122009485</v>
      </c>
      <c r="FC16" s="44">
        <v>5.4443734994887656</v>
      </c>
      <c r="FD16" s="44">
        <v>1.8258704815429843</v>
      </c>
      <c r="FE16" s="47">
        <v>1.47851356113393</v>
      </c>
      <c r="FF16" s="47">
        <v>1.5059219796187957</v>
      </c>
      <c r="FG16" s="47">
        <v>2.6298969862582826</v>
      </c>
      <c r="FH16" s="47">
        <v>2.4198107127260653</v>
      </c>
      <c r="FI16" s="47">
        <v>2.2277045520722121</v>
      </c>
      <c r="FJ16" s="47">
        <v>4.2450708897385603</v>
      </c>
      <c r="FK16" s="47">
        <v>4.2024040085462397</v>
      </c>
      <c r="FL16" s="47">
        <v>4.3011062117853101</v>
      </c>
      <c r="FM16" s="47">
        <v>4.3701049177696802</v>
      </c>
      <c r="FN16" s="47">
        <v>1.3953705663360623</v>
      </c>
      <c r="FO16" s="47">
        <v>1.368525023924819</v>
      </c>
      <c r="FP16" s="47">
        <v>1.3746231854323454</v>
      </c>
      <c r="FQ16" s="47">
        <v>1.3995623273940327</v>
      </c>
      <c r="FR16" s="47">
        <v>1.3032607430149803</v>
      </c>
      <c r="FS16" s="47">
        <v>1.1979002283070321</v>
      </c>
      <c r="FT16" s="47">
        <v>0.78348984500396202</v>
      </c>
      <c r="FU16" s="47">
        <v>0.51452473963234802</v>
      </c>
      <c r="FV16" s="47">
        <v>0.56835712930112814</v>
      </c>
      <c r="FW16" s="47">
        <v>0.52355817140063654</v>
      </c>
      <c r="FX16" s="47">
        <v>0.74933640148077452</v>
      </c>
      <c r="FY16" s="47">
        <v>0.79678696513386571</v>
      </c>
      <c r="FZ16" s="47">
        <v>0.78298600631794835</v>
      </c>
      <c r="GA16" s="47">
        <v>0.59592748126640349</v>
      </c>
      <c r="GB16" s="47">
        <v>0.65221837462033649</v>
      </c>
      <c r="GC16" s="47">
        <v>0.20340838750696649</v>
      </c>
      <c r="GD16" s="47">
        <v>0.4077323978608603</v>
      </c>
      <c r="GE16" s="47">
        <v>0.76425404429460619</v>
      </c>
      <c r="GF16" s="47">
        <v>0.59611044542619529</v>
      </c>
      <c r="GG16" s="47">
        <v>0.44752245621745224</v>
      </c>
      <c r="GH16" s="47">
        <v>0.26427690558446698</v>
      </c>
      <c r="GI16" s="47">
        <v>0.324611563888209</v>
      </c>
      <c r="GJ16" s="47">
        <v>0.50058447476522006</v>
      </c>
      <c r="GK16" s="47">
        <v>0.37900673997871598</v>
      </c>
      <c r="GL16" s="47">
        <v>0.402844082266201</v>
      </c>
      <c r="GM16" s="47">
        <v>0.71426459888952698</v>
      </c>
      <c r="GN16" s="47">
        <v>0.20267771451809699</v>
      </c>
      <c r="GO16" s="47">
        <v>0.128364755336287</v>
      </c>
      <c r="GP16" s="47">
        <v>0.196905707917434</v>
      </c>
      <c r="GQ16" s="47">
        <v>0.196905707917434</v>
      </c>
      <c r="GR16" s="47">
        <v>0.213230683374765</v>
      </c>
      <c r="GS16" s="47">
        <v>0.145928952093865</v>
      </c>
      <c r="GT16" s="47">
        <v>0.35949703454790399</v>
      </c>
      <c r="GU16" s="47">
        <v>0.52081292197765605</v>
      </c>
      <c r="GV16" s="47">
        <v>0.19840180332026899</v>
      </c>
      <c r="GW16" s="47">
        <v>0.89323816054693195</v>
      </c>
      <c r="GX16" s="47">
        <v>0.144354582655426</v>
      </c>
      <c r="GY16" s="47">
        <v>0.22408302551432299</v>
      </c>
      <c r="GZ16" s="47">
        <v>0.60138903433315805</v>
      </c>
      <c r="HA16" s="47">
        <v>2.1397282180262001</v>
      </c>
      <c r="HB16" s="47">
        <v>3.67247384116355</v>
      </c>
      <c r="HC16" s="47">
        <v>5.0451770158654696</v>
      </c>
      <c r="HD16" s="47">
        <v>4.5340125219451304</v>
      </c>
      <c r="HE16" s="47">
        <v>4.32177759066031</v>
      </c>
      <c r="HF16" s="47">
        <v>4.4134467989541104</v>
      </c>
      <c r="HG16" s="47">
        <v>2.8770345221928402</v>
      </c>
      <c r="HH16" s="47">
        <v>2.4225602409638598</v>
      </c>
      <c r="HI16" s="47">
        <v>3.0623211646872099</v>
      </c>
      <c r="HJ16" s="47">
        <v>1.8595457416502299</v>
      </c>
      <c r="HK16" s="47">
        <v>0.81775282750664402</v>
      </c>
      <c r="HL16" s="47">
        <v>1.16766625807658</v>
      </c>
      <c r="HM16" s="47">
        <v>0.67542790038206302</v>
      </c>
      <c r="HN16" s="47">
        <v>0.490638345986109</v>
      </c>
      <c r="HO16" s="47">
        <v>1.12573922765976</v>
      </c>
      <c r="HP16" s="47">
        <v>4.5959136960158302</v>
      </c>
      <c r="HQ16" s="47">
        <v>4.8175949367088604</v>
      </c>
      <c r="HR16" s="47">
        <v>0.91138002149475705</v>
      </c>
      <c r="HS16" s="47">
        <v>0.79804695683583204</v>
      </c>
      <c r="HT16" s="47">
        <v>0.81910540175076496</v>
      </c>
      <c r="HU16" s="47">
        <v>0.69665716512764497</v>
      </c>
      <c r="HV16" s="47">
        <v>1.28864027740731</v>
      </c>
      <c r="HW16" s="47">
        <v>1.70617010724692</v>
      </c>
      <c r="HX16" s="47">
        <v>1.8906202964652199</v>
      </c>
      <c r="HY16" s="47">
        <v>0.97787580240585004</v>
      </c>
      <c r="HZ16" s="47">
        <v>1.9321895197185199</v>
      </c>
      <c r="IA16" s="47">
        <v>1.9105578063533699</v>
      </c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</row>
    <row r="17" spans="1:451">
      <c r="A17" s="20" t="s">
        <v>274</v>
      </c>
      <c r="B17" s="33" t="s">
        <v>223</v>
      </c>
      <c r="C17" s="20" t="s">
        <v>274</v>
      </c>
      <c r="D17" s="43">
        <v>4.59</v>
      </c>
      <c r="E17" s="44">
        <v>4.2699999999999996</v>
      </c>
      <c r="F17" s="44">
        <v>4.62</v>
      </c>
      <c r="G17" s="44">
        <v>4.6100000000000003</v>
      </c>
      <c r="H17" s="44">
        <v>4.6900000000000004</v>
      </c>
      <c r="I17" s="44">
        <v>4.3600000000000003</v>
      </c>
      <c r="J17" s="44">
        <v>4.3099999999999996</v>
      </c>
      <c r="K17" s="44">
        <v>4.4800000000000004</v>
      </c>
      <c r="L17" s="44">
        <v>4.26</v>
      </c>
      <c r="M17" s="44">
        <v>4.32</v>
      </c>
      <c r="N17" s="44">
        <v>4.374128419365916</v>
      </c>
      <c r="O17" s="44">
        <v>4.4654197568087106</v>
      </c>
      <c r="P17" s="44">
        <v>4.0530555698408621</v>
      </c>
      <c r="Q17" s="44">
        <v>4.0869987221467934</v>
      </c>
      <c r="R17" s="44">
        <v>5.1185795209408598</v>
      </c>
      <c r="S17" s="44">
        <v>7.0238592803264499</v>
      </c>
      <c r="T17" s="44">
        <v>6.8208979804946592</v>
      </c>
      <c r="U17" s="44">
        <v>6.2376801766773458</v>
      </c>
      <c r="V17" s="44">
        <v>5.7241371331972974</v>
      </c>
      <c r="W17" s="44">
        <v>6.3723783739704798</v>
      </c>
      <c r="X17" s="44">
        <v>8.1286328992570098</v>
      </c>
      <c r="Y17" s="44">
        <v>7.7604129383651186</v>
      </c>
      <c r="Z17" s="44">
        <v>7.8740611975221109</v>
      </c>
      <c r="AA17" s="44">
        <v>7.724836389921121</v>
      </c>
      <c r="AB17" s="44">
        <v>7.6872396548908721</v>
      </c>
      <c r="AC17" s="44">
        <v>7.4138953359681521</v>
      </c>
      <c r="AD17" s="44">
        <v>7.4660936047471038</v>
      </c>
      <c r="AE17" s="44">
        <v>7.3371263080353986</v>
      </c>
      <c r="AF17" s="44">
        <v>7.0420980204181154</v>
      </c>
      <c r="AG17" s="44">
        <v>7.0919966496329279</v>
      </c>
      <c r="AH17" s="44">
        <v>7.2212378105861257</v>
      </c>
      <c r="AI17" s="44">
        <v>7.1404281153139406</v>
      </c>
      <c r="AJ17" s="44">
        <v>7.1715046957003388</v>
      </c>
      <c r="AK17" s="44">
        <v>7.4655389948329116</v>
      </c>
      <c r="AL17" s="44">
        <v>6.6920409270888577</v>
      </c>
      <c r="AM17" s="44">
        <v>6.0468637310037838</v>
      </c>
      <c r="AN17" s="44">
        <v>6.6938541559599241</v>
      </c>
      <c r="AO17" s="44">
        <v>6.945192278258137</v>
      </c>
      <c r="AP17" s="44">
        <v>7.7990078089769561</v>
      </c>
      <c r="AQ17" s="44">
        <v>8.3305275231327052</v>
      </c>
      <c r="AR17" s="44">
        <v>6.9237520125968786</v>
      </c>
      <c r="AS17" s="44">
        <v>7.8864615161213001</v>
      </c>
      <c r="AT17" s="44">
        <v>7.7618329426257082</v>
      </c>
      <c r="AU17" s="44">
        <v>7.6478821902810274</v>
      </c>
      <c r="AV17" s="44">
        <v>7.1224641771613788</v>
      </c>
      <c r="AW17" s="44">
        <v>7.5229604712565452</v>
      </c>
      <c r="AX17" s="44">
        <v>7.3775452194368887</v>
      </c>
      <c r="AY17" s="44">
        <v>6.7255268571070577</v>
      </c>
      <c r="AZ17" s="44">
        <v>5.1859213239605788</v>
      </c>
      <c r="BA17" s="44">
        <v>6.8940987449008144</v>
      </c>
      <c r="BB17" s="44">
        <v>7.8446036297154844</v>
      </c>
      <c r="BC17" s="44">
        <v>6.1939161647568755</v>
      </c>
      <c r="BD17" s="44">
        <v>6.1742140660572717</v>
      </c>
      <c r="BE17" s="44">
        <v>4.8977253849507214</v>
      </c>
      <c r="BF17" s="44">
        <v>4.047001596556222</v>
      </c>
      <c r="BG17" s="44">
        <v>6.3618175856173824</v>
      </c>
      <c r="BH17" s="44">
        <v>4.269403745236577</v>
      </c>
      <c r="BI17" s="44">
        <v>5.8113609375938866</v>
      </c>
      <c r="BJ17" s="44">
        <v>5.5422164748664819</v>
      </c>
      <c r="BK17" s="44">
        <v>6.428620243045529</v>
      </c>
      <c r="BL17" s="44">
        <v>4.1873731962796201</v>
      </c>
      <c r="BM17" s="44">
        <v>4.0916140887135466</v>
      </c>
      <c r="BN17" s="44">
        <v>5.7241174672661295</v>
      </c>
      <c r="BO17" s="44">
        <v>5.082071516757984</v>
      </c>
      <c r="BP17" s="44">
        <v>5.249542885861632</v>
      </c>
      <c r="BQ17" s="44">
        <v>3.2731093615721396</v>
      </c>
      <c r="BR17" s="44">
        <v>5.2690070101331727</v>
      </c>
      <c r="BS17" s="44">
        <v>5.4217934202595481</v>
      </c>
      <c r="BT17" s="44">
        <v>3.9868781817179619</v>
      </c>
      <c r="BU17" s="44">
        <v>2.8048981143653453</v>
      </c>
      <c r="BV17" s="44">
        <v>2.8337372650647512</v>
      </c>
      <c r="BW17" s="44">
        <v>3.1268080040547108</v>
      </c>
      <c r="BX17" s="44">
        <v>5.0740056010074763</v>
      </c>
      <c r="BY17" s="44">
        <v>5.7444429949656959</v>
      </c>
      <c r="BZ17" s="44">
        <v>6.1123910924495766</v>
      </c>
      <c r="CA17" s="44">
        <v>6.5833900191588359</v>
      </c>
      <c r="CB17" s="44">
        <v>6.8872589048440478</v>
      </c>
      <c r="CC17" s="44">
        <v>4.787706738525582</v>
      </c>
      <c r="CD17" s="44">
        <v>3.6712248456187204</v>
      </c>
      <c r="CE17" s="44">
        <v>3.25874223076667</v>
      </c>
      <c r="CF17" s="44">
        <v>6.9037641491503905</v>
      </c>
      <c r="CG17" s="44">
        <v>5.790336277976472</v>
      </c>
      <c r="CH17" s="44">
        <v>4.6433183604716453</v>
      </c>
      <c r="CI17" s="44">
        <v>4.8505956247319064</v>
      </c>
      <c r="CJ17" s="44">
        <v>5.3727304435393117</v>
      </c>
      <c r="CK17" s="44">
        <v>4.720018988303206</v>
      </c>
      <c r="CL17" s="44">
        <v>4.3874408016917021</v>
      </c>
      <c r="CM17" s="44">
        <v>4.7482063002546759</v>
      </c>
      <c r="CN17" s="44">
        <v>4.8889157918841066</v>
      </c>
      <c r="CO17" s="44">
        <v>4.6475874134965771</v>
      </c>
      <c r="CP17" s="44">
        <v>6.2410334509600798</v>
      </c>
      <c r="CQ17" s="44">
        <v>5.5152725722369729</v>
      </c>
      <c r="CR17" s="44">
        <v>6.3600589954823272</v>
      </c>
      <c r="CS17" s="44">
        <v>6.2788328653609087</v>
      </c>
      <c r="CT17" s="44">
        <v>5.7929459402608332</v>
      </c>
      <c r="CU17" s="44">
        <v>5.5707331975560086</v>
      </c>
      <c r="CV17" s="44">
        <v>5.6703304103869856</v>
      </c>
      <c r="CW17" s="44">
        <v>4.6275620052770448</v>
      </c>
      <c r="CX17" s="44">
        <v>5.6244360871182355</v>
      </c>
      <c r="CY17" s="44">
        <v>5.1188062829636767</v>
      </c>
      <c r="CZ17" s="44">
        <v>5.6453302930901135</v>
      </c>
      <c r="DA17" s="44">
        <v>6.0896306086303991</v>
      </c>
      <c r="DB17" s="44">
        <v>4.8832893384343103</v>
      </c>
      <c r="DC17" s="44">
        <v>4.1877820943606059</v>
      </c>
      <c r="DD17" s="44">
        <v>5.0341109919596159</v>
      </c>
      <c r="DE17" s="44">
        <v>5.2795126644907704</v>
      </c>
      <c r="DF17" s="44">
        <v>5.1323513513513523</v>
      </c>
      <c r="DG17" s="44">
        <v>4.8450403058639262</v>
      </c>
      <c r="DH17" s="44">
        <v>5.3143910499595153</v>
      </c>
      <c r="DI17" s="44">
        <v>5.5414966472578975</v>
      </c>
      <c r="DJ17" s="44">
        <v>6.9826886744820955</v>
      </c>
      <c r="DK17" s="44">
        <v>6.6620769960018142</v>
      </c>
      <c r="DL17" s="44">
        <v>7.2253163800580547</v>
      </c>
      <c r="DM17" s="44">
        <v>5.4435696025994886</v>
      </c>
      <c r="DN17" s="44">
        <v>5.702164034727744</v>
      </c>
      <c r="DO17" s="44">
        <v>5.1344300339694078</v>
      </c>
      <c r="DP17" s="44">
        <v>5.2109006726851312</v>
      </c>
      <c r="DQ17" s="44">
        <v>4.6551467818668426</v>
      </c>
      <c r="DR17" s="44">
        <v>4.6969809992588401</v>
      </c>
      <c r="DS17" s="44">
        <v>5.0096622265980759</v>
      </c>
      <c r="DT17" s="44">
        <v>4.6423645419227739</v>
      </c>
      <c r="DU17" s="44">
        <v>4.8788867234829683</v>
      </c>
      <c r="DV17" s="44">
        <v>3.8</v>
      </c>
      <c r="DW17" s="44">
        <v>4.5754842335172397</v>
      </c>
      <c r="DX17" s="44">
        <v>4.5349866006048796</v>
      </c>
      <c r="DY17" s="44">
        <v>4.2237255358264001</v>
      </c>
      <c r="DZ17" s="44">
        <v>4.6743079480202114</v>
      </c>
      <c r="EA17" s="44">
        <v>4.5004524888262631</v>
      </c>
      <c r="EB17" s="44">
        <v>4.3218130615540371</v>
      </c>
      <c r="EC17" s="44">
        <v>4.6803508764137298</v>
      </c>
      <c r="ED17" s="44">
        <v>4.6720938727519155</v>
      </c>
      <c r="EE17" s="44">
        <v>4.092815201559814</v>
      </c>
      <c r="EF17" s="44">
        <v>4.2232961215773903</v>
      </c>
      <c r="EG17" s="44">
        <v>3.8695699527709904</v>
      </c>
      <c r="EH17" s="44">
        <v>4.0500611879883293</v>
      </c>
      <c r="EI17" s="44">
        <v>3.5986077704646662</v>
      </c>
      <c r="EJ17" s="44">
        <v>4.4117282316346396</v>
      </c>
      <c r="EK17" s="44">
        <v>5.0578163269261216</v>
      </c>
      <c r="EL17" s="44">
        <v>5.1729573997426082</v>
      </c>
      <c r="EM17" s="44">
        <v>5.1601459984067066</v>
      </c>
      <c r="EN17" s="44">
        <v>2.5834326992350247</v>
      </c>
      <c r="EO17" s="44">
        <v>1.4636863980655657</v>
      </c>
      <c r="EP17" s="44">
        <v>1.0828626580077991</v>
      </c>
      <c r="EQ17" s="44">
        <v>1.3264314668089889</v>
      </c>
      <c r="ER17" s="44">
        <v>1.3719880452702409</v>
      </c>
      <c r="ES17" s="44">
        <v>2.5772390573501878</v>
      </c>
      <c r="ET17" s="44">
        <v>0.88392764631336596</v>
      </c>
      <c r="EU17" s="44">
        <v>1.399037237423981</v>
      </c>
      <c r="EV17" s="44">
        <v>0.83435970417122685</v>
      </c>
      <c r="EW17" s="44">
        <v>0.77338172197718036</v>
      </c>
      <c r="EX17" s="44">
        <v>0.81832079141909408</v>
      </c>
      <c r="EY17" s="44">
        <v>0.92652034129522887</v>
      </c>
      <c r="EZ17" s="44">
        <v>1.0606437266156412</v>
      </c>
      <c r="FA17" s="44">
        <v>0.97803513461313685</v>
      </c>
      <c r="FB17" s="44">
        <v>0.98978029586635385</v>
      </c>
      <c r="FC17" s="44">
        <v>0.91571592524471779</v>
      </c>
      <c r="FD17" s="44">
        <v>0.80110981387519486</v>
      </c>
      <c r="FE17" s="47">
        <v>0.6996926665427099</v>
      </c>
      <c r="FF17" s="47">
        <v>0.65366540500252468</v>
      </c>
      <c r="FG17" s="47">
        <v>0.65570360679846762</v>
      </c>
      <c r="FH17" s="47">
        <v>0.6510447698154368</v>
      </c>
      <c r="FI17" s="47">
        <v>0.66183195611115664</v>
      </c>
      <c r="FJ17" s="47">
        <v>0.49456522613835552</v>
      </c>
      <c r="FK17" s="47">
        <v>0.50062012137319345</v>
      </c>
      <c r="FL17" s="47">
        <v>0.47351797004909202</v>
      </c>
      <c r="FM17" s="47">
        <v>0.58936475153087831</v>
      </c>
      <c r="FN17" s="47">
        <v>0.65166946102285739</v>
      </c>
      <c r="FO17" s="47">
        <v>0.64316619844411627</v>
      </c>
      <c r="FP17" s="47">
        <v>0.96692544569262606</v>
      </c>
      <c r="FQ17" s="47">
        <v>0.95782849813119653</v>
      </c>
      <c r="FR17" s="47">
        <v>0.9133034494007658</v>
      </c>
      <c r="FS17" s="47">
        <v>0.86704835731788898</v>
      </c>
      <c r="FT17" s="47">
        <v>0.94552715107093543</v>
      </c>
      <c r="FU17" s="47">
        <v>0.9559038901969904</v>
      </c>
      <c r="FV17" s="47">
        <v>1.1116712018653536</v>
      </c>
      <c r="FW17" s="47">
        <v>1.0159907156949046</v>
      </c>
      <c r="FX17" s="47">
        <v>1.0143056334794389</v>
      </c>
      <c r="FY17" s="47">
        <v>1.3406190721441407</v>
      </c>
      <c r="FZ17" s="47">
        <v>1.021535474668515</v>
      </c>
      <c r="GA17" s="47">
        <v>0.95788799726342377</v>
      </c>
      <c r="GB17" s="47">
        <v>0.96770489527142545</v>
      </c>
      <c r="GC17" s="47">
        <v>1.0026500652671853</v>
      </c>
      <c r="GD17" s="47">
        <v>1.2810491539203241</v>
      </c>
      <c r="GE17" s="47">
        <v>0.81572515875442264</v>
      </c>
      <c r="GF17" s="47">
        <v>1.0671736291096163</v>
      </c>
      <c r="GG17" s="47">
        <v>0.83885785465085128</v>
      </c>
      <c r="GH17" s="47">
        <v>0.25466757739040402</v>
      </c>
      <c r="GI17" s="47">
        <v>0.139620742621895</v>
      </c>
      <c r="GJ17" s="47">
        <v>8.0072255731579403E-2</v>
      </c>
      <c r="GK17" s="47">
        <v>0.29776802225186799</v>
      </c>
      <c r="GL17" s="47">
        <v>2.1897615699805901</v>
      </c>
      <c r="GM17" s="47">
        <v>1.9172721955326699</v>
      </c>
      <c r="GN17" s="47">
        <v>1.3762779955489499</v>
      </c>
      <c r="GO17" s="47">
        <v>1.14090988491574</v>
      </c>
      <c r="GP17" s="47">
        <v>0.99677140489998095</v>
      </c>
      <c r="GQ17" s="47">
        <v>0.99677140489998095</v>
      </c>
      <c r="GR17" s="47">
        <v>0.995458781328178</v>
      </c>
      <c r="GS17" s="47">
        <v>0.70688070312824502</v>
      </c>
      <c r="GT17" s="47">
        <v>0.95786001495015605</v>
      </c>
      <c r="GU17" s="47">
        <v>0.92803319495833703</v>
      </c>
      <c r="GV17" s="47">
        <v>1.02587772397094</v>
      </c>
      <c r="GW17" s="47">
        <v>0.83658239844834803</v>
      </c>
      <c r="GX17" s="47">
        <v>0.90557173340541697</v>
      </c>
      <c r="GY17" s="47">
        <v>0.92283773574411498</v>
      </c>
      <c r="GZ17" s="47">
        <v>0.94186538691094601</v>
      </c>
      <c r="HA17" s="47">
        <v>1.04035725056891</v>
      </c>
      <c r="HB17" s="47">
        <v>1.0502745194374501</v>
      </c>
      <c r="HC17" s="47">
        <v>0.95270407399947299</v>
      </c>
      <c r="HD17" s="47">
        <v>1.0587462549539901</v>
      </c>
      <c r="HE17" s="47">
        <v>0.94006797999062497</v>
      </c>
      <c r="HF17" s="47">
        <v>0.84248272397353197</v>
      </c>
      <c r="HG17" s="47">
        <v>0.19900245872848599</v>
      </c>
      <c r="HH17" s="47">
        <v>0.195504643962848</v>
      </c>
      <c r="HI17" s="47">
        <v>0.123428290766208</v>
      </c>
      <c r="HJ17" s="47">
        <v>0.972288168183566</v>
      </c>
      <c r="HK17" s="47">
        <v>0.64484249084249101</v>
      </c>
      <c r="HL17" s="47">
        <v>0.57993883463891005</v>
      </c>
      <c r="HM17" s="47">
        <v>1.2800986709625499</v>
      </c>
      <c r="HN17" s="47">
        <v>2.40835507736913</v>
      </c>
      <c r="HO17" s="47">
        <v>2.3562296997124901</v>
      </c>
      <c r="HP17" s="47">
        <v>2.3492863624062399</v>
      </c>
      <c r="HQ17" s="47">
        <v>2.08141535501708</v>
      </c>
      <c r="HR17" s="47">
        <v>2.51293164955201</v>
      </c>
      <c r="HS17" s="47">
        <v>3.0085318932412899</v>
      </c>
      <c r="HT17" s="47">
        <v>2.9613140607656598</v>
      </c>
      <c r="HU17" s="47">
        <v>2.8052263235352601</v>
      </c>
      <c r="HV17" s="47">
        <v>2.09649353926013</v>
      </c>
      <c r="HW17" s="47">
        <v>2.8292183212056199</v>
      </c>
      <c r="HX17" s="47">
        <v>1.86793384693804</v>
      </c>
      <c r="HY17" s="47">
        <v>1.6683529789835201</v>
      </c>
      <c r="HZ17" s="47">
        <v>2.3002227371686201</v>
      </c>
      <c r="IA17" s="47">
        <v>2.3104499451190001</v>
      </c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</row>
    <row r="18" spans="1:451">
      <c r="A18" s="20" t="s">
        <v>275</v>
      </c>
      <c r="B18" s="33" t="s">
        <v>224</v>
      </c>
      <c r="C18" s="20" t="s">
        <v>275</v>
      </c>
      <c r="D18" s="43">
        <v>6.33</v>
      </c>
      <c r="E18" s="44">
        <v>5.77</v>
      </c>
      <c r="F18" s="44">
        <v>6.06</v>
      </c>
      <c r="G18" s="44">
        <v>5.92</v>
      </c>
      <c r="H18" s="44">
        <v>5.87</v>
      </c>
      <c r="I18" s="44">
        <v>5.66</v>
      </c>
      <c r="J18" s="44">
        <v>5.6</v>
      </c>
      <c r="K18" s="44">
        <v>5.96</v>
      </c>
      <c r="L18" s="44">
        <v>6.49</v>
      </c>
      <c r="M18" s="44">
        <v>6.54</v>
      </c>
      <c r="N18" s="44">
        <v>6.5434332317965094</v>
      </c>
      <c r="O18" s="44">
        <v>6.9303678372070427</v>
      </c>
      <c r="P18" s="44">
        <v>7.0455668898174784</v>
      </c>
      <c r="Q18" s="44">
        <v>7.0543025124344485</v>
      </c>
      <c r="R18" s="44">
        <v>7.4297068191660305</v>
      </c>
      <c r="S18" s="44">
        <v>7.9840614701347938</v>
      </c>
      <c r="T18" s="44">
        <v>7.8053081391375656</v>
      </c>
      <c r="U18" s="44">
        <v>7.9124112021857931</v>
      </c>
      <c r="V18" s="44">
        <v>8.4446395348837218</v>
      </c>
      <c r="W18" s="44">
        <v>8.0934232597941822</v>
      </c>
      <c r="X18" s="44">
        <v>8.3611412030299928</v>
      </c>
      <c r="Y18" s="44">
        <v>8.4725113643581071</v>
      </c>
      <c r="Z18" s="44">
        <v>8.4026765973512809</v>
      </c>
      <c r="AA18" s="44">
        <v>8.3941759514847227</v>
      </c>
      <c r="AB18" s="44">
        <v>8.3546887689630651</v>
      </c>
      <c r="AC18" s="44">
        <v>8.595540301394605</v>
      </c>
      <c r="AD18" s="44">
        <v>8.5425079425195261</v>
      </c>
      <c r="AE18" s="44">
        <v>8.6552018270799351</v>
      </c>
      <c r="AF18" s="44">
        <v>8.5753895940848874</v>
      </c>
      <c r="AG18" s="44">
        <v>8.577298304574267</v>
      </c>
      <c r="AH18" s="44">
        <v>8.4946411311823162</v>
      </c>
      <c r="AI18" s="44">
        <v>8.6267371703598013</v>
      </c>
      <c r="AJ18" s="44">
        <v>8.7218790987466814</v>
      </c>
      <c r="AK18" s="44">
        <v>8.6702471567871697</v>
      </c>
      <c r="AL18" s="44">
        <v>8.7417391449798245</v>
      </c>
      <c r="AM18" s="44">
        <v>8.9163944654076541</v>
      </c>
      <c r="AN18" s="44">
        <v>9.196652126324171</v>
      </c>
      <c r="AO18" s="44">
        <v>9.5068421665197427</v>
      </c>
      <c r="AP18" s="44">
        <v>9.8127649823405161</v>
      </c>
      <c r="AQ18" s="44">
        <v>9.1299829390798024</v>
      </c>
      <c r="AR18" s="44">
        <v>9.4319229881899318</v>
      </c>
      <c r="AS18" s="44">
        <v>9.3943807086761559</v>
      </c>
      <c r="AT18" s="44">
        <v>10.079413223613763</v>
      </c>
      <c r="AU18" s="44">
        <v>9.996908945538026</v>
      </c>
      <c r="AV18" s="44">
        <v>9.9631275053650246</v>
      </c>
      <c r="AW18" s="44">
        <v>10.274922987632825</v>
      </c>
      <c r="AX18" s="44">
        <v>10.502005930682966</v>
      </c>
      <c r="AY18" s="44">
        <v>10.84006231767245</v>
      </c>
      <c r="AZ18" s="44">
        <v>10.720964678982</v>
      </c>
      <c r="BA18" s="44">
        <v>9.4654906865829709</v>
      </c>
      <c r="BB18" s="44">
        <v>9.5790474341218204</v>
      </c>
      <c r="BC18" s="44">
        <v>11.072939498200512</v>
      </c>
      <c r="BD18" s="44">
        <v>10.533017207201123</v>
      </c>
      <c r="BE18" s="44">
        <v>10.455021045895034</v>
      </c>
      <c r="BF18" s="44">
        <v>8.8771502000050155</v>
      </c>
      <c r="BG18" s="44">
        <v>9.0134478139632233</v>
      </c>
      <c r="BH18" s="44">
        <v>9.8072234658875566</v>
      </c>
      <c r="BI18" s="44">
        <v>9.0200519245786221</v>
      </c>
      <c r="BJ18" s="44">
        <v>8.9681011973848559</v>
      </c>
      <c r="BK18" s="44">
        <v>9.1166436634833978</v>
      </c>
      <c r="BL18" s="44">
        <v>8.7314678629140943</v>
      </c>
      <c r="BM18" s="44">
        <v>8.7571410132803624</v>
      </c>
      <c r="BN18" s="44">
        <v>8.8841623470678037</v>
      </c>
      <c r="BO18" s="44">
        <v>9.7756776190430923</v>
      </c>
      <c r="BP18" s="44">
        <v>9.9735557433018727</v>
      </c>
      <c r="BQ18" s="44">
        <v>9.9844731708922723</v>
      </c>
      <c r="BR18" s="44">
        <v>10.055747366948379</v>
      </c>
      <c r="BS18" s="44">
        <v>10.064455497074013</v>
      </c>
      <c r="BT18" s="44">
        <v>10.348425849572518</v>
      </c>
      <c r="BU18" s="44">
        <v>10.330350333524169</v>
      </c>
      <c r="BV18" s="44">
        <v>10.250074762890421</v>
      </c>
      <c r="BW18" s="44">
        <v>10.290821246085757</v>
      </c>
      <c r="BX18" s="44">
        <v>10.012679421350841</v>
      </c>
      <c r="BY18" s="44">
        <v>9.1788944450483747</v>
      </c>
      <c r="BZ18" s="44">
        <v>9.00990762785786</v>
      </c>
      <c r="CA18" s="44">
        <v>8.719536972210765</v>
      </c>
      <c r="CB18" s="44">
        <v>8.389206698758322</v>
      </c>
      <c r="CC18" s="44">
        <v>8.0366325408755852</v>
      </c>
      <c r="CD18" s="44">
        <v>7.9139353760124509</v>
      </c>
      <c r="CE18" s="44">
        <v>8.0324253487412314</v>
      </c>
      <c r="CF18" s="44">
        <v>7.8676995977619466</v>
      </c>
      <c r="CG18" s="44">
        <v>7.7844632995466938</v>
      </c>
      <c r="CH18" s="44">
        <v>8.0498936968216217</v>
      </c>
      <c r="CI18" s="44">
        <v>8.2075319953600729</v>
      </c>
      <c r="CJ18" s="44">
        <v>7.4700254371602588</v>
      </c>
      <c r="CK18" s="44">
        <v>7.2878515947132643</v>
      </c>
      <c r="CL18" s="44">
        <v>7.3865276947053617</v>
      </c>
      <c r="CM18" s="44">
        <v>7.3571705388328565</v>
      </c>
      <c r="CN18" s="44">
        <v>7.3101504801173833</v>
      </c>
      <c r="CO18" s="44">
        <v>7.3039175964819547</v>
      </c>
      <c r="CP18" s="44">
        <v>7.2907753824756609</v>
      </c>
      <c r="CQ18" s="44">
        <v>7.0165313151827853</v>
      </c>
      <c r="CR18" s="44">
        <v>7.2980077382275743</v>
      </c>
      <c r="CS18" s="44">
        <v>7.1268593205032396</v>
      </c>
      <c r="CT18" s="44">
        <v>7.1379662437020333</v>
      </c>
      <c r="CU18" s="44">
        <v>4.9157071177443017</v>
      </c>
      <c r="CV18" s="44">
        <v>4.386855673043291</v>
      </c>
      <c r="CW18" s="44">
        <v>4.4049812673229471</v>
      </c>
      <c r="CX18" s="44">
        <v>7.1878949540006642</v>
      </c>
      <c r="CY18" s="44">
        <v>6.49745846844535</v>
      </c>
      <c r="CZ18" s="44">
        <v>6.7778965702226444</v>
      </c>
      <c r="DA18" s="44">
        <v>5.1165628561673957</v>
      </c>
      <c r="DB18" s="44">
        <v>6.8695182358949749</v>
      </c>
      <c r="DC18" s="44">
        <v>4.5774790461429786</v>
      </c>
      <c r="DD18" s="44">
        <v>4.6608468288633489</v>
      </c>
      <c r="DE18" s="44">
        <v>4.5133494161895511</v>
      </c>
      <c r="DF18" s="44">
        <v>5.5885018734195464</v>
      </c>
      <c r="DG18" s="44">
        <v>5.6541734150201384</v>
      </c>
      <c r="DH18" s="44">
        <v>5.674360952117441</v>
      </c>
      <c r="DI18" s="44">
        <v>6.7301326596153572</v>
      </c>
      <c r="DJ18" s="44">
        <v>7.3455414187941797</v>
      </c>
      <c r="DK18" s="44">
        <v>7.0933866059627926</v>
      </c>
      <c r="DL18" s="44">
        <v>6.6024689229829878</v>
      </c>
      <c r="DM18" s="44">
        <v>6.4153824480902077</v>
      </c>
      <c r="DN18" s="44">
        <v>6.2180640013637758</v>
      </c>
      <c r="DO18" s="44">
        <v>6.3346482568851243</v>
      </c>
      <c r="DP18" s="44">
        <v>6.1431510017487669</v>
      </c>
      <c r="DQ18" s="44">
        <v>6.6048051093101261</v>
      </c>
      <c r="DR18" s="44">
        <v>6.6336180681035914</v>
      </c>
      <c r="DS18" s="44">
        <v>6.3523572185057073</v>
      </c>
      <c r="DT18" s="44">
        <v>6.0622812968743078</v>
      </c>
      <c r="DU18" s="44">
        <v>3.9055086616898467</v>
      </c>
      <c r="DV18" s="44">
        <v>6.44</v>
      </c>
      <c r="DW18" s="44">
        <v>6.3796542669992995</v>
      </c>
      <c r="DX18" s="44">
        <v>6.6898166849690703</v>
      </c>
      <c r="DY18" s="44">
        <v>5.7456191096858307</v>
      </c>
      <c r="DZ18" s="44">
        <v>5.7166404932823616</v>
      </c>
      <c r="EA18" s="44">
        <v>5.1771822454402416</v>
      </c>
      <c r="EB18" s="44">
        <v>5.1736822874042812</v>
      </c>
      <c r="EC18" s="44">
        <v>4.7361086920157831</v>
      </c>
      <c r="ED18" s="44">
        <v>4.5356773187911772</v>
      </c>
      <c r="EE18" s="44">
        <v>4.5334880094817116</v>
      </c>
      <c r="EF18" s="44">
        <v>4.08859836883002</v>
      </c>
      <c r="EG18" s="44">
        <v>3.7399972679071323</v>
      </c>
      <c r="EH18" s="44">
        <v>2.9164857957928305</v>
      </c>
      <c r="EI18" s="44">
        <v>3.1767220679385662</v>
      </c>
      <c r="EJ18" s="44">
        <v>3.1183731328084603</v>
      </c>
      <c r="EK18" s="44">
        <v>2.6866858463519372</v>
      </c>
      <c r="EL18" s="44">
        <v>2.677458768572119</v>
      </c>
      <c r="EM18" s="44">
        <v>2.4979973846771948</v>
      </c>
      <c r="EN18" s="44">
        <v>2.3973779166514437</v>
      </c>
      <c r="EO18" s="44">
        <v>2.4515219637249812</v>
      </c>
      <c r="EP18" s="44">
        <v>2.0600243171636019</v>
      </c>
      <c r="EQ18" s="44">
        <v>1.7808851505448129</v>
      </c>
      <c r="ER18" s="44">
        <v>1.7363734736643963</v>
      </c>
      <c r="ES18" s="44">
        <v>2.3729258298072238</v>
      </c>
      <c r="ET18" s="44">
        <v>1.3403439646420234</v>
      </c>
      <c r="EU18" s="44">
        <v>1.0822831053012993</v>
      </c>
      <c r="EV18" s="44">
        <v>0.88934002466495199</v>
      </c>
      <c r="EW18" s="44">
        <v>0.95905086840413079</v>
      </c>
      <c r="EX18" s="44">
        <v>0.91105515307912521</v>
      </c>
      <c r="EY18" s="44">
        <v>0.86876503996008925</v>
      </c>
      <c r="EZ18" s="44">
        <v>0.80170905315260033</v>
      </c>
      <c r="FA18" s="44">
        <v>0.74378430391068351</v>
      </c>
      <c r="FB18" s="44">
        <v>0.53499337775331601</v>
      </c>
      <c r="FC18" s="44">
        <v>0.5509599899839227</v>
      </c>
      <c r="FD18" s="44">
        <v>0.66990427255265383</v>
      </c>
      <c r="FE18" s="47">
        <v>1.9304067695900797</v>
      </c>
      <c r="FF18" s="47">
        <v>2.0753848575630203</v>
      </c>
      <c r="FG18" s="47">
        <v>1.9294101842252684</v>
      </c>
      <c r="FH18" s="47">
        <v>1.7251659753966653</v>
      </c>
      <c r="FI18" s="47">
        <v>1.4792705402705675</v>
      </c>
      <c r="FJ18" s="47">
        <v>2.3412789601523487</v>
      </c>
      <c r="FK18" s="47">
        <v>2.2420653940463708</v>
      </c>
      <c r="FL18" s="47">
        <v>2.2204896423621583</v>
      </c>
      <c r="FM18" s="47">
        <v>2.6657062119784207</v>
      </c>
      <c r="FN18" s="47">
        <v>2.9267561522249754</v>
      </c>
      <c r="FO18" s="47">
        <v>2.9110418448040076</v>
      </c>
      <c r="FP18" s="47">
        <v>2.3073876205904815</v>
      </c>
      <c r="FQ18" s="47">
        <v>2.341748888547909</v>
      </c>
      <c r="FR18" s="47">
        <v>2.1243071924914076</v>
      </c>
      <c r="FS18" s="47">
        <v>2.5423240617605383</v>
      </c>
      <c r="FT18" s="47">
        <v>2.7910401978993677</v>
      </c>
      <c r="FU18" s="47">
        <v>2.820464024531669</v>
      </c>
      <c r="FV18" s="47">
        <v>1.3864163600710133</v>
      </c>
      <c r="FW18" s="47">
        <v>1.3959938465247441</v>
      </c>
      <c r="FX18" s="47">
        <v>1.2714820554474726</v>
      </c>
      <c r="FY18" s="47">
        <v>1.269376970817331</v>
      </c>
      <c r="FZ18" s="47">
        <v>1.269176718926718</v>
      </c>
      <c r="GA18" s="47">
        <v>1.2124431807108762</v>
      </c>
      <c r="GB18" s="47">
        <v>0.92686504868191966</v>
      </c>
      <c r="GC18" s="47">
        <v>0.81355324041808463</v>
      </c>
      <c r="GD18" s="47">
        <v>0.70644251315878093</v>
      </c>
      <c r="GE18" s="47">
        <v>0.70687177138060775</v>
      </c>
      <c r="GF18" s="47">
        <v>0.81944261660731899</v>
      </c>
      <c r="GG18" s="47">
        <v>0.81204626779938116</v>
      </c>
      <c r="GH18" s="47">
        <v>0.66757787098064503</v>
      </c>
      <c r="GI18" s="47">
        <v>0.61774303430896105</v>
      </c>
      <c r="GJ18" s="47">
        <v>0.63975219308008002</v>
      </c>
      <c r="GK18" s="47">
        <v>1.1436628652498899</v>
      </c>
      <c r="GL18" s="47">
        <v>1.4492848866891299</v>
      </c>
      <c r="GM18" s="47">
        <v>1.4395997323330101</v>
      </c>
      <c r="GN18" s="47">
        <v>1.0507212559794099</v>
      </c>
      <c r="GO18" s="47">
        <v>0.89278086762855202</v>
      </c>
      <c r="GP18" s="47">
        <v>0.83157261672812399</v>
      </c>
      <c r="GQ18" s="47">
        <v>0.83157261672812399</v>
      </c>
      <c r="GR18" s="47">
        <v>0.67650628366718601</v>
      </c>
      <c r="GS18" s="47">
        <v>1.1024593683178501</v>
      </c>
      <c r="GT18" s="47">
        <v>0.99755507281132205</v>
      </c>
      <c r="GU18" s="47">
        <v>1.0052158375636799</v>
      </c>
      <c r="GV18" s="47">
        <v>0.51479065262593104</v>
      </c>
      <c r="GW18" s="47">
        <v>0.55814009426548195</v>
      </c>
      <c r="GX18" s="47">
        <v>0.56381672441491604</v>
      </c>
      <c r="GY18" s="47">
        <v>0.56368838076884697</v>
      </c>
      <c r="GZ18" s="47">
        <v>0.75138642329337801</v>
      </c>
      <c r="HA18" s="47">
        <v>0.59294841618487704</v>
      </c>
      <c r="HB18" s="47">
        <v>0.444893858613992</v>
      </c>
      <c r="HC18" s="47">
        <v>0.49021084348219202</v>
      </c>
      <c r="HD18" s="47">
        <v>0.49040669326434499</v>
      </c>
      <c r="HE18" s="47">
        <v>0.44844084888788199</v>
      </c>
      <c r="HF18" s="47">
        <v>0.46295651438817897</v>
      </c>
      <c r="HG18" s="47">
        <v>0.44095598572484801</v>
      </c>
      <c r="HH18" s="47">
        <v>0.46152342350834202</v>
      </c>
      <c r="HI18" s="47">
        <v>0.44862126550686299</v>
      </c>
      <c r="HJ18" s="47">
        <v>0.48733880981946698</v>
      </c>
      <c r="HK18" s="47">
        <v>0.94837097689532601</v>
      </c>
      <c r="HL18" s="47">
        <v>1.2001914324862999</v>
      </c>
      <c r="HM18" s="47">
        <v>2.39533213506951</v>
      </c>
      <c r="HN18" s="47">
        <v>2.67608934123857</v>
      </c>
      <c r="HO18" s="47">
        <v>2.6339089317692999</v>
      </c>
      <c r="HP18" s="47">
        <v>2.6060345979392099</v>
      </c>
      <c r="HQ18" s="47">
        <v>2.80544858721019</v>
      </c>
      <c r="HR18" s="47">
        <v>2.8795102712026699</v>
      </c>
      <c r="HS18" s="47">
        <v>2.5577526911966899</v>
      </c>
      <c r="HT18" s="47">
        <v>1.37894134192724</v>
      </c>
      <c r="HU18" s="47">
        <v>2.9241645182367901</v>
      </c>
      <c r="HV18" s="47">
        <v>2.9549807487701001</v>
      </c>
      <c r="HW18" s="47">
        <v>2.8364283280548599</v>
      </c>
      <c r="HX18" s="47">
        <v>2.9270822712095899</v>
      </c>
      <c r="HY18" s="47">
        <v>1.8632223425379799</v>
      </c>
      <c r="HZ18" s="47">
        <v>3.31759422133337</v>
      </c>
      <c r="IA18" s="47">
        <v>3.0560171986815998</v>
      </c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</row>
    <row r="19" spans="1:451">
      <c r="A19" s="20" t="s">
        <v>276</v>
      </c>
      <c r="B19" s="33" t="s">
        <v>225</v>
      </c>
      <c r="C19" s="20" t="s">
        <v>276</v>
      </c>
      <c r="D19" s="43">
        <v>6.32</v>
      </c>
      <c r="E19" s="44">
        <v>6.07</v>
      </c>
      <c r="F19" s="44">
        <v>6.16</v>
      </c>
      <c r="G19" s="44">
        <v>6.21</v>
      </c>
      <c r="H19" s="44">
        <v>6.2</v>
      </c>
      <c r="I19" s="44">
        <v>5.9</v>
      </c>
      <c r="J19" s="44">
        <v>6.51</v>
      </c>
      <c r="K19" s="44">
        <v>6.53</v>
      </c>
      <c r="L19" s="44">
        <v>5.25</v>
      </c>
      <c r="M19" s="44">
        <v>5.58</v>
      </c>
      <c r="N19" s="44">
        <v>5.3300612639956544</v>
      </c>
      <c r="O19" s="44">
        <v>5.1556653250912152</v>
      </c>
      <c r="P19" s="44">
        <v>5.9968978181927772</v>
      </c>
      <c r="Q19" s="44">
        <v>6.1726331281276421</v>
      </c>
      <c r="R19" s="44">
        <v>7.3149209285934544</v>
      </c>
      <c r="S19" s="44">
        <v>7.7179708509924687</v>
      </c>
      <c r="T19" s="44">
        <v>8.3376851864347312</v>
      </c>
      <c r="U19" s="44">
        <v>7.7495499021526424</v>
      </c>
      <c r="V19" s="44">
        <v>7.5900623494870185</v>
      </c>
      <c r="W19" s="44">
        <v>8.5019872172231086</v>
      </c>
      <c r="X19" s="44">
        <v>9.1984651249149021</v>
      </c>
      <c r="Y19" s="44">
        <v>9.3456472870553071</v>
      </c>
      <c r="Z19" s="44">
        <v>9.8606029249516496</v>
      </c>
      <c r="AA19" s="44">
        <v>10.035353766481579</v>
      </c>
      <c r="AB19" s="44">
        <v>10.11770399901663</v>
      </c>
      <c r="AC19" s="44">
        <v>7.9577504522501661</v>
      </c>
      <c r="AD19" s="44">
        <v>7.9285576997591196</v>
      </c>
      <c r="AE19" s="44">
        <v>8.1295334977651468</v>
      </c>
      <c r="AF19" s="44">
        <v>8.9652083489484209</v>
      </c>
      <c r="AG19" s="44">
        <v>9.2376253999853795</v>
      </c>
      <c r="AH19" s="44">
        <v>9.7816966675412385</v>
      </c>
      <c r="AI19" s="44">
        <v>10.128456956589128</v>
      </c>
      <c r="AJ19" s="44">
        <v>10.171776862674053</v>
      </c>
      <c r="AK19" s="44">
        <v>9.8619178273277761</v>
      </c>
      <c r="AL19" s="44">
        <v>10.190995007753969</v>
      </c>
      <c r="AM19" s="44">
        <v>11.186282715321118</v>
      </c>
      <c r="AN19" s="44">
        <v>10.966932828924969</v>
      </c>
      <c r="AO19" s="44">
        <v>11.265399633473383</v>
      </c>
      <c r="AP19" s="44">
        <v>11.362338719936025</v>
      </c>
      <c r="AQ19" s="44">
        <v>11.798828918033456</v>
      </c>
      <c r="AR19" s="44">
        <v>11.986344316268006</v>
      </c>
      <c r="AS19" s="44">
        <v>11.612239034219915</v>
      </c>
      <c r="AT19" s="44">
        <v>12.127309268702501</v>
      </c>
      <c r="AU19" s="44">
        <v>11.626787085006356</v>
      </c>
      <c r="AV19" s="44">
        <v>11.033176166161324</v>
      </c>
      <c r="AW19" s="44">
        <v>10.978869471367428</v>
      </c>
      <c r="AX19" s="44">
        <v>10.638938997003669</v>
      </c>
      <c r="AY19" s="44">
        <v>10.798058664047597</v>
      </c>
      <c r="AZ19" s="44">
        <v>10.881289800323465</v>
      </c>
      <c r="BA19" s="44">
        <v>12.473880919403515</v>
      </c>
      <c r="BB19" s="44">
        <v>12.459387004062368</v>
      </c>
      <c r="BC19" s="44">
        <v>12.192707822957793</v>
      </c>
      <c r="BD19" s="44">
        <v>11.752646497164848</v>
      </c>
      <c r="BE19" s="44">
        <v>10.978021567636107</v>
      </c>
      <c r="BF19" s="44">
        <v>10.936780890789356</v>
      </c>
      <c r="BG19" s="44">
        <v>11.153805947439542</v>
      </c>
      <c r="BH19" s="44">
        <v>10.958832122369673</v>
      </c>
      <c r="BI19" s="44">
        <v>11.051815132301845</v>
      </c>
      <c r="BJ19" s="44">
        <v>10.976979714724227</v>
      </c>
      <c r="BK19" s="44">
        <v>11.510853018890312</v>
      </c>
      <c r="BL19" s="44">
        <v>11.50480929661029</v>
      </c>
      <c r="BM19" s="44">
        <v>11.459553656482079</v>
      </c>
      <c r="BN19" s="44">
        <v>11.475304635774799</v>
      </c>
      <c r="BO19" s="44">
        <v>11.173730255482244</v>
      </c>
      <c r="BP19" s="44">
        <v>11.29867674749338</v>
      </c>
      <c r="BQ19" s="44">
        <v>11.239275359094561</v>
      </c>
      <c r="BR19" s="44">
        <v>11.060632805830407</v>
      </c>
      <c r="BS19" s="44">
        <v>10.826525340581451</v>
      </c>
      <c r="BT19" s="44">
        <v>9.8931151331054661</v>
      </c>
      <c r="BU19" s="44">
        <v>9.7029494362168887</v>
      </c>
      <c r="BV19" s="44">
        <v>7.6375715161736597</v>
      </c>
      <c r="BW19" s="44">
        <v>7.7443008523541748</v>
      </c>
      <c r="BX19" s="44">
        <v>7.7724444250829681</v>
      </c>
      <c r="BY19" s="44">
        <v>9.8406638689809238</v>
      </c>
      <c r="BZ19" s="44">
        <v>9.8781911084702649</v>
      </c>
      <c r="CA19" s="44">
        <v>9.4512696063024055</v>
      </c>
      <c r="CB19" s="44">
        <v>8.9096789179820135</v>
      </c>
      <c r="CC19" s="44">
        <v>7.8909223999063025</v>
      </c>
      <c r="CD19" s="44">
        <v>8.7994814039462241</v>
      </c>
      <c r="CE19" s="44">
        <v>8.3463221306655644</v>
      </c>
      <c r="CF19" s="44">
        <v>8.3754235871971918</v>
      </c>
      <c r="CG19" s="44">
        <v>8.8385927353489677</v>
      </c>
      <c r="CH19" s="44">
        <v>7.3085795900078416</v>
      </c>
      <c r="CI19" s="44">
        <v>7.7118673347920232</v>
      </c>
      <c r="CJ19" s="44">
        <v>7.4384730057737194</v>
      </c>
      <c r="CK19" s="44">
        <v>8.2100000000000009</v>
      </c>
      <c r="CL19" s="44">
        <v>8.52</v>
      </c>
      <c r="CM19" s="44">
        <v>7.92</v>
      </c>
      <c r="CN19" s="44">
        <v>7.91</v>
      </c>
      <c r="CO19" s="44">
        <v>7.93</v>
      </c>
      <c r="CP19" s="44">
        <v>7.32</v>
      </c>
      <c r="CQ19" s="44">
        <v>8.68</v>
      </c>
      <c r="CR19" s="44">
        <v>6.38</v>
      </c>
      <c r="CS19" s="44">
        <v>7.35</v>
      </c>
      <c r="CT19" s="44">
        <v>5.3568437674080389</v>
      </c>
      <c r="CU19" s="44">
        <v>5.3600463485495169</v>
      </c>
      <c r="CV19" s="44">
        <v>5.4738383980595708</v>
      </c>
      <c r="CW19" s="44">
        <v>4.672047122683197</v>
      </c>
      <c r="CX19" s="44">
        <v>5.2096805251016631</v>
      </c>
      <c r="CY19" s="44">
        <v>4.8913539666157941</v>
      </c>
      <c r="CZ19" s="44">
        <v>5.0095480395858312</v>
      </c>
      <c r="DA19" s="44">
        <v>5.4025087916913064</v>
      </c>
      <c r="DB19" s="44">
        <v>7.5887660580585869</v>
      </c>
      <c r="DC19" s="44">
        <v>7.0411828352114973</v>
      </c>
      <c r="DD19" s="44">
        <v>5.6103334890464911</v>
      </c>
      <c r="DE19" s="44">
        <v>6.5694745887974211</v>
      </c>
      <c r="DF19" s="44">
        <v>5.1017205157259706</v>
      </c>
      <c r="DG19" s="44">
        <v>4.5711592309128255</v>
      </c>
      <c r="DH19" s="44">
        <v>4.821180879464797</v>
      </c>
      <c r="DI19" s="44">
        <v>4.461894903421963</v>
      </c>
      <c r="DJ19" s="44">
        <v>4.5980133270953463</v>
      </c>
      <c r="DK19" s="44">
        <v>5.18023268464992</v>
      </c>
      <c r="DL19" s="44">
        <v>5.1214967413425301</v>
      </c>
      <c r="DM19" s="44">
        <v>4.5937692097409197</v>
      </c>
      <c r="DN19" s="44">
        <v>4.1391017226017315</v>
      </c>
      <c r="DO19" s="44">
        <v>6.5459808892728581</v>
      </c>
      <c r="DP19" s="44">
        <v>6.9603914731473724</v>
      </c>
      <c r="DQ19" s="44">
        <v>6.9619145045274893</v>
      </c>
      <c r="DR19" s="44">
        <v>6.9247905290324088</v>
      </c>
      <c r="DS19" s="44">
        <v>6.9261706365203421</v>
      </c>
      <c r="DT19" s="44">
        <v>7.5492248615486197</v>
      </c>
      <c r="DU19" s="44">
        <v>7.4513961841461303</v>
      </c>
      <c r="DV19" s="44">
        <v>7.58</v>
      </c>
      <c r="DW19" s="44">
        <v>7.4163139613885463</v>
      </c>
      <c r="DX19" s="44">
        <v>7.4301132554961091</v>
      </c>
      <c r="DY19" s="44">
        <v>6.5331548481527575</v>
      </c>
      <c r="DZ19" s="44">
        <v>6.5379634488421869</v>
      </c>
      <c r="EA19" s="44">
        <v>6.1944708463027558</v>
      </c>
      <c r="EB19" s="44">
        <v>6.054942851695146</v>
      </c>
      <c r="EC19" s="44">
        <v>5.8593697943030403</v>
      </c>
      <c r="ED19" s="44">
        <v>5.4459068753122803</v>
      </c>
      <c r="EE19" s="44">
        <v>7.0079455653674749</v>
      </c>
      <c r="EF19" s="44">
        <v>5.3196732217103078</v>
      </c>
      <c r="EG19" s="44">
        <v>3.8681695698995848</v>
      </c>
      <c r="EH19" s="44">
        <v>3.2483814373821533</v>
      </c>
      <c r="EI19" s="44">
        <v>3.0860225947476265</v>
      </c>
      <c r="EJ19" s="44">
        <v>2.7596684514163341</v>
      </c>
      <c r="EK19" s="44">
        <v>2.7123947064406138</v>
      </c>
      <c r="EL19" s="44">
        <v>1.9394033223687928</v>
      </c>
      <c r="EM19" s="44">
        <v>2.0610321277046384</v>
      </c>
      <c r="EN19" s="44">
        <v>1.8032872261428459</v>
      </c>
      <c r="EO19" s="44">
        <v>2.6250818617911023</v>
      </c>
      <c r="EP19" s="44">
        <v>1.634412983263223</v>
      </c>
      <c r="EQ19" s="44">
        <v>2.1667818564070678</v>
      </c>
      <c r="ER19" s="44">
        <v>2.5175955851908118</v>
      </c>
      <c r="ES19" s="44">
        <v>2.5183107395992099</v>
      </c>
      <c r="ET19" s="44">
        <v>3.2641342745245732</v>
      </c>
      <c r="EU19" s="44">
        <v>2.1553855839445388</v>
      </c>
      <c r="EV19" s="44">
        <v>1.912159811664103</v>
      </c>
      <c r="EW19" s="44">
        <v>1.8989294452827969</v>
      </c>
      <c r="EX19" s="44">
        <v>1.9066853815974127</v>
      </c>
      <c r="EY19" s="44">
        <v>2.1985453472501568</v>
      </c>
      <c r="EZ19" s="44">
        <v>2.0152729527065669</v>
      </c>
      <c r="FA19" s="44">
        <v>2.0810127997582275</v>
      </c>
      <c r="FB19" s="44">
        <v>1.6875566136444551</v>
      </c>
      <c r="FC19" s="44">
        <v>1.6859077677079899</v>
      </c>
      <c r="FD19" s="44">
        <v>1.4571975548788643</v>
      </c>
      <c r="FE19" s="47">
        <v>1.4864997627375169</v>
      </c>
      <c r="FF19" s="47">
        <v>1.4693329211655424</v>
      </c>
      <c r="FG19" s="47">
        <v>1.4332631717988178</v>
      </c>
      <c r="FH19" s="47">
        <v>2.0046640785140712</v>
      </c>
      <c r="FI19" s="47">
        <v>0.63777827516771579</v>
      </c>
      <c r="FJ19" s="47">
        <v>0.61286930802777462</v>
      </c>
      <c r="FK19" s="47">
        <v>0.63528350101575803</v>
      </c>
      <c r="FL19" s="47">
        <v>0.49401653772509518</v>
      </c>
      <c r="FM19" s="47">
        <v>0.42797233357839859</v>
      </c>
      <c r="FN19" s="47">
        <v>0.40322377670440784</v>
      </c>
      <c r="FO19" s="47">
        <v>0.577142580113156</v>
      </c>
      <c r="FP19" s="47">
        <v>0.5991975847203761</v>
      </c>
      <c r="FQ19" s="47">
        <v>0.42798931687920039</v>
      </c>
      <c r="FR19" s="47">
        <v>0.52600221230517241</v>
      </c>
      <c r="FS19" s="47">
        <v>0.48371241374250229</v>
      </c>
      <c r="FT19" s="47">
        <v>1.5866304167867904</v>
      </c>
      <c r="FU19" s="47">
        <v>1.5620071341907802</v>
      </c>
      <c r="FV19" s="47">
        <v>1.7443094594634234</v>
      </c>
      <c r="FW19" s="47">
        <v>1.7694263267453583</v>
      </c>
      <c r="FX19" s="47">
        <v>1.2424308737684222</v>
      </c>
      <c r="FY19" s="47">
        <v>1.2510988672493843</v>
      </c>
      <c r="FZ19" s="47">
        <v>1.2544354038335841</v>
      </c>
      <c r="GA19" s="47">
        <v>1.2315618325176387</v>
      </c>
      <c r="GB19" s="47">
        <v>1.0469733205176264</v>
      </c>
      <c r="GC19" s="47">
        <v>0.9999192823580928</v>
      </c>
      <c r="GD19" s="47">
        <v>0.89408614355916383</v>
      </c>
      <c r="GE19" s="47">
        <v>0.45885756169418046</v>
      </c>
      <c r="GF19" s="47">
        <v>0.94113265936171142</v>
      </c>
      <c r="GG19" s="47">
        <v>0.83316839979341772</v>
      </c>
      <c r="GH19" s="47">
        <v>0.87544320526341901</v>
      </c>
      <c r="GI19" s="47">
        <v>0.90554015691359702</v>
      </c>
      <c r="GJ19" s="47">
        <v>1.68472374973844</v>
      </c>
      <c r="GK19" s="47">
        <v>1.6991112439667899</v>
      </c>
      <c r="GL19" s="47">
        <v>1.7446612329075299</v>
      </c>
      <c r="GM19" s="47">
        <v>1.6297016551571399</v>
      </c>
      <c r="GN19" s="47">
        <v>1.4528220451673499</v>
      </c>
      <c r="GO19" s="47">
        <v>0.87588499744468096</v>
      </c>
      <c r="GP19" s="47">
        <v>0.86695598940838003</v>
      </c>
      <c r="GQ19" s="47">
        <v>0.86695598940838003</v>
      </c>
      <c r="GR19" s="47">
        <v>0.90004561941260897</v>
      </c>
      <c r="GS19" s="47">
        <v>0.71998537670307305</v>
      </c>
      <c r="GT19" s="47">
        <v>1.5720962030173</v>
      </c>
      <c r="GU19" s="47">
        <v>1.47037701368339</v>
      </c>
      <c r="GV19" s="47">
        <v>1.4511428182673201</v>
      </c>
      <c r="GW19" s="47">
        <v>1.3739258086060999</v>
      </c>
      <c r="GX19" s="47">
        <v>1.3874182031962501</v>
      </c>
      <c r="GY19" s="47">
        <v>1.37372579209038</v>
      </c>
      <c r="GZ19" s="47">
        <v>1.3700125034675401</v>
      </c>
      <c r="HA19" s="47">
        <v>0.57247291989868598</v>
      </c>
      <c r="HB19" s="47">
        <v>0.63382726599711203</v>
      </c>
      <c r="HC19" s="47">
        <v>0.70582620642558802</v>
      </c>
      <c r="HD19" s="47">
        <v>0.65910037164052804</v>
      </c>
      <c r="HE19" s="47">
        <v>0.66913483970731003</v>
      </c>
      <c r="HF19" s="47">
        <v>0.43429772282183599</v>
      </c>
      <c r="HG19" s="47">
        <v>0.44670605197699098</v>
      </c>
      <c r="HH19" s="47">
        <v>0.54329487153848399</v>
      </c>
      <c r="HI19" s="47">
        <v>0.631105064515188</v>
      </c>
      <c r="HJ19" s="47">
        <v>0.62894537919336002</v>
      </c>
      <c r="HK19" s="47">
        <v>0.62130645545215801</v>
      </c>
      <c r="HL19" s="47">
        <v>0.64387126598681999</v>
      </c>
      <c r="HM19" s="47">
        <v>0.67804730531364898</v>
      </c>
      <c r="HN19" s="47">
        <v>0.64477335299267202</v>
      </c>
      <c r="HO19" s="47">
        <v>1.10893799839124</v>
      </c>
      <c r="HP19" s="47">
        <v>1.1165325149254399</v>
      </c>
      <c r="HQ19" s="47">
        <v>2.8078501417625499</v>
      </c>
      <c r="HR19" s="47">
        <v>2.7842625397776599</v>
      </c>
      <c r="HS19" s="47">
        <v>3.30600823411568</v>
      </c>
      <c r="HT19" s="47">
        <v>3.2748537552149601</v>
      </c>
      <c r="HU19" s="47">
        <v>1.0842505660005199</v>
      </c>
      <c r="HV19" s="47">
        <v>1.07231042430267</v>
      </c>
      <c r="HW19" s="47">
        <v>0.75629555894478695</v>
      </c>
      <c r="HX19" s="47">
        <v>0.72281398405241903</v>
      </c>
      <c r="HY19" s="47">
        <v>1.3989689332570501</v>
      </c>
      <c r="HZ19" s="47">
        <v>1.9649466764410699</v>
      </c>
      <c r="IA19" s="47">
        <v>1.9229934582189601</v>
      </c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</row>
    <row r="20" spans="1:451">
      <c r="A20" s="20" t="s">
        <v>277</v>
      </c>
      <c r="B20" s="33" t="s">
        <v>226</v>
      </c>
      <c r="C20" s="20" t="s">
        <v>277</v>
      </c>
      <c r="D20" s="43">
        <v>8.91</v>
      </c>
      <c r="E20" s="44">
        <v>8.7100000000000009</v>
      </c>
      <c r="F20" s="44">
        <v>8.98</v>
      </c>
      <c r="G20" s="44">
        <v>8.94</v>
      </c>
      <c r="H20" s="44">
        <v>8.89</v>
      </c>
      <c r="I20" s="44">
        <v>8.99</v>
      </c>
      <c r="J20" s="44">
        <v>8.93</v>
      </c>
      <c r="K20" s="44">
        <v>9.36</v>
      </c>
      <c r="L20" s="44">
        <v>9.5299999999999994</v>
      </c>
      <c r="M20" s="44">
        <v>9.18</v>
      </c>
      <c r="N20" s="44">
        <v>9.6487498546546693</v>
      </c>
      <c r="O20" s="44">
        <v>9.693097261443091</v>
      </c>
      <c r="P20" s="44">
        <v>9.7982238072140717</v>
      </c>
      <c r="Q20" s="44">
        <v>9.8902250446376989</v>
      </c>
      <c r="R20" s="44">
        <v>10.070711401349181</v>
      </c>
      <c r="S20" s="44">
        <v>10.173587057595599</v>
      </c>
      <c r="T20" s="44">
        <v>10.304035703645249</v>
      </c>
      <c r="U20" s="44">
        <v>10.661152676484667</v>
      </c>
      <c r="V20" s="44">
        <v>10.827716906826231</v>
      </c>
      <c r="W20" s="44">
        <v>10.898884685826927</v>
      </c>
      <c r="X20" s="44">
        <v>11.281950392575045</v>
      </c>
      <c r="Y20" s="44">
        <v>11.040814046923945</v>
      </c>
      <c r="Z20" s="44">
        <v>11.348167670030657</v>
      </c>
      <c r="AA20" s="44">
        <v>11.164628360215547</v>
      </c>
      <c r="AB20" s="44">
        <v>11.215799630494022</v>
      </c>
      <c r="AC20" s="44">
        <v>11.583816390671231</v>
      </c>
      <c r="AD20" s="44">
        <v>11.371510871270896</v>
      </c>
      <c r="AE20" s="44">
        <v>11.784163928088152</v>
      </c>
      <c r="AF20" s="44">
        <v>11.454412411344986</v>
      </c>
      <c r="AG20" s="44">
        <v>11.717927360812412</v>
      </c>
      <c r="AH20" s="44">
        <v>11.926381348380795</v>
      </c>
      <c r="AI20" s="44">
        <v>11.923972943713325</v>
      </c>
      <c r="AJ20" s="44">
        <v>11.880479412228988</v>
      </c>
      <c r="AK20" s="44">
        <v>11.981820104543472</v>
      </c>
      <c r="AL20" s="44">
        <v>12.046200627939021</v>
      </c>
      <c r="AM20" s="44">
        <v>12.098658152094485</v>
      </c>
      <c r="AN20" s="44">
        <v>11.877109787694376</v>
      </c>
      <c r="AO20" s="44">
        <v>12.166607314932762</v>
      </c>
      <c r="AP20" s="44">
        <v>11.958029258386007</v>
      </c>
      <c r="AQ20" s="44">
        <v>12.179591543404694</v>
      </c>
      <c r="AR20" s="44">
        <v>11.858023680018592</v>
      </c>
      <c r="AS20" s="44">
        <v>12.439784607286438</v>
      </c>
      <c r="AT20" s="44">
        <v>12.495786826734305</v>
      </c>
      <c r="AU20" s="44">
        <v>12.521371429365516</v>
      </c>
      <c r="AV20" s="44">
        <v>12.516035538194627</v>
      </c>
      <c r="AW20" s="44">
        <v>12.854776918280614</v>
      </c>
      <c r="AX20" s="44">
        <v>12.782473773594157</v>
      </c>
      <c r="AY20" s="44">
        <v>11.794231241000894</v>
      </c>
      <c r="AZ20" s="44">
        <v>11.948937583908283</v>
      </c>
      <c r="BA20" s="44">
        <v>12.479335858974922</v>
      </c>
      <c r="BB20" s="44">
        <v>12.31085799408495</v>
      </c>
      <c r="BC20" s="44">
        <v>11.942987462685648</v>
      </c>
      <c r="BD20" s="44">
        <v>12.373993407245919</v>
      </c>
      <c r="BE20" s="44">
        <v>12.323621885822217</v>
      </c>
      <c r="BF20" s="44">
        <v>12.413139804102888</v>
      </c>
      <c r="BG20" s="44">
        <v>12.514230579194717</v>
      </c>
      <c r="BH20" s="44">
        <v>12.47785013206758</v>
      </c>
      <c r="BI20" s="44">
        <v>12.481476289290937</v>
      </c>
      <c r="BJ20" s="44">
        <v>12.471792286014333</v>
      </c>
      <c r="BK20" s="44">
        <v>12.354274827653279</v>
      </c>
      <c r="BL20" s="44">
        <v>12.462827955657627</v>
      </c>
      <c r="BM20" s="44">
        <v>12.608526600688764</v>
      </c>
      <c r="BN20" s="44">
        <v>12.589624958344185</v>
      </c>
      <c r="BO20" s="44">
        <v>12.220833604293862</v>
      </c>
      <c r="BP20" s="44">
        <v>12.362928596444112</v>
      </c>
      <c r="BQ20" s="44">
        <v>12.373946014518056</v>
      </c>
      <c r="BR20" s="44">
        <v>11.19186857008018</v>
      </c>
      <c r="BS20" s="44">
        <v>11.03778869536948</v>
      </c>
      <c r="BT20" s="44">
        <v>11.308281872897007</v>
      </c>
      <c r="BU20" s="44">
        <v>11.192211173699821</v>
      </c>
      <c r="BV20" s="44">
        <v>10.786515690416007</v>
      </c>
      <c r="BW20" s="44">
        <v>10.938146718473979</v>
      </c>
      <c r="BX20" s="44">
        <v>10.862632912707914</v>
      </c>
      <c r="BY20" s="44">
        <v>10.676715076936064</v>
      </c>
      <c r="BZ20" s="44">
        <v>10.287118721351423</v>
      </c>
      <c r="CA20" s="44">
        <v>11.427699765703416</v>
      </c>
      <c r="CB20" s="44">
        <v>10.316407171197802</v>
      </c>
      <c r="CC20" s="44">
        <v>11.026604555854062</v>
      </c>
      <c r="CD20" s="44">
        <v>10.926761898186024</v>
      </c>
      <c r="CE20" s="44">
        <v>10.897184088555594</v>
      </c>
      <c r="CF20" s="44">
        <v>10.668277601238517</v>
      </c>
      <c r="CG20" s="44">
        <v>11.187976636004505</v>
      </c>
      <c r="CH20" s="44">
        <v>10.867621971862974</v>
      </c>
      <c r="CI20" s="44">
        <v>10.512905266069769</v>
      </c>
      <c r="CJ20" s="44">
        <v>10.574137518195876</v>
      </c>
      <c r="CK20" s="44">
        <v>10.466828801747235</v>
      </c>
      <c r="CL20" s="44">
        <v>10.497853490075022</v>
      </c>
      <c r="CM20" s="44">
        <v>10.210699237464231</v>
      </c>
      <c r="CN20" s="44">
        <v>10.019493983688637</v>
      </c>
      <c r="CO20" s="44">
        <v>10.047915524001887</v>
      </c>
      <c r="CP20" s="44">
        <v>10.015999577188088</v>
      </c>
      <c r="CQ20" s="44">
        <v>9.8607087856885958</v>
      </c>
      <c r="CR20" s="44">
        <v>9.757057459214364</v>
      </c>
      <c r="CS20" s="44">
        <v>9.7359095946605994</v>
      </c>
      <c r="CT20" s="44">
        <v>9.6765054535196633</v>
      </c>
      <c r="CU20" s="44">
        <v>9.6726279390644994</v>
      </c>
      <c r="CV20" s="44">
        <v>9.6280723044761487</v>
      </c>
      <c r="CW20" s="44">
        <v>9.54603030569589</v>
      </c>
      <c r="CX20" s="44">
        <v>9.5902367236616612</v>
      </c>
      <c r="CY20" s="44">
        <v>9.5929482871452496</v>
      </c>
      <c r="CZ20" s="44">
        <v>9.6154603810477379</v>
      </c>
      <c r="DA20" s="44">
        <v>9.4783245700229024</v>
      </c>
      <c r="DB20" s="44">
        <v>9.5289112510922092</v>
      </c>
      <c r="DC20" s="44">
        <v>9.4258434654825489</v>
      </c>
      <c r="DD20" s="44">
        <v>9.346247209963062</v>
      </c>
      <c r="DE20" s="44">
        <v>9.2553486337102502</v>
      </c>
      <c r="DF20" s="44">
        <v>9.1997143379013746</v>
      </c>
      <c r="DG20" s="44">
        <v>9.1478860724816009</v>
      </c>
      <c r="DH20" s="44">
        <v>9.1532237177875064</v>
      </c>
      <c r="DI20" s="44">
        <v>9.0378970191978745</v>
      </c>
      <c r="DJ20" s="44">
        <v>9.0265636331374228</v>
      </c>
      <c r="DK20" s="44">
        <v>8.8211426782433833</v>
      </c>
      <c r="DL20" s="44">
        <v>8.8716541847312111</v>
      </c>
      <c r="DM20" s="44">
        <v>8.8151235288269216</v>
      </c>
      <c r="DN20" s="44">
        <v>7.6599167157979098</v>
      </c>
      <c r="DO20" s="44">
        <v>8.8319273460483014</v>
      </c>
      <c r="DP20" s="44">
        <v>8.8781019385016791</v>
      </c>
      <c r="DQ20" s="44">
        <v>8.7878221210761271</v>
      </c>
      <c r="DR20" s="44">
        <v>7.8854408782571017</v>
      </c>
      <c r="DS20" s="44">
        <v>7.8051628442432737</v>
      </c>
      <c r="DT20" s="44">
        <v>8.7939387888303049</v>
      </c>
      <c r="DU20" s="44">
        <v>8.991226750432892</v>
      </c>
      <c r="DV20" s="44">
        <v>9.08</v>
      </c>
      <c r="DW20" s="44">
        <v>8.4904497700253785</v>
      </c>
      <c r="DX20" s="44">
        <v>8.3894698225652782</v>
      </c>
      <c r="DY20" s="44">
        <v>8.6170730349516269</v>
      </c>
      <c r="DZ20" s="44">
        <v>8.6035003934275114</v>
      </c>
      <c r="EA20" s="44">
        <v>8.5584491695972105</v>
      </c>
      <c r="EB20" s="44">
        <v>8.4614399257415833</v>
      </c>
      <c r="EC20" s="44">
        <v>8.3367827907622853</v>
      </c>
      <c r="ED20" s="44">
        <v>8.2267232464671398</v>
      </c>
      <c r="EE20" s="44">
        <v>8.2110921545440547</v>
      </c>
      <c r="EF20" s="44">
        <v>7.9133403701389469</v>
      </c>
      <c r="EG20" s="44">
        <v>7.6453051059621888</v>
      </c>
      <c r="EH20" s="44">
        <v>7.3606708657222768</v>
      </c>
      <c r="EI20" s="44">
        <v>6.8523128929413621</v>
      </c>
      <c r="EJ20" s="44">
        <v>4.9657113580488339</v>
      </c>
      <c r="EK20" s="44">
        <v>4.3958474485751804</v>
      </c>
      <c r="EL20" s="44">
        <v>3.9861056740686873</v>
      </c>
      <c r="EM20" s="44">
        <v>4.1171825532472353</v>
      </c>
      <c r="EN20" s="44">
        <v>3.9243393910800086</v>
      </c>
      <c r="EO20" s="44">
        <v>3.7633796639940411</v>
      </c>
      <c r="EP20" s="44">
        <v>3.9897288097263259</v>
      </c>
      <c r="EQ20" s="44">
        <v>3.8670422759930907</v>
      </c>
      <c r="ER20" s="44">
        <v>3.7989964994600212</v>
      </c>
      <c r="ES20" s="44">
        <v>3.9395645591607851</v>
      </c>
      <c r="ET20" s="44">
        <v>3.9237685415364787</v>
      </c>
      <c r="EU20" s="44">
        <v>3.7503279912288683</v>
      </c>
      <c r="EV20" s="44">
        <v>3.6633240235831135</v>
      </c>
      <c r="EW20" s="44">
        <v>3.5191344876007133</v>
      </c>
      <c r="EX20" s="44">
        <v>3.442996192592704</v>
      </c>
      <c r="EY20" s="44">
        <v>3.3445991099446224</v>
      </c>
      <c r="EZ20" s="44">
        <v>3.2893807496611935</v>
      </c>
      <c r="FA20" s="44">
        <v>3.2181681949291767</v>
      </c>
      <c r="FB20" s="44">
        <v>2.6515820494893969</v>
      </c>
      <c r="FC20" s="44">
        <v>2.6090223205611451</v>
      </c>
      <c r="FD20" s="44">
        <v>2.6375663457898648</v>
      </c>
      <c r="FE20" s="47">
        <v>2.6161334600456314</v>
      </c>
      <c r="FF20" s="47">
        <v>2.6311693448175504</v>
      </c>
      <c r="FG20" s="47">
        <v>2.7235038785706216</v>
      </c>
      <c r="FH20" s="47">
        <v>2.5014145039997144</v>
      </c>
      <c r="FI20" s="47">
        <v>2.3773846519345829</v>
      </c>
      <c r="FJ20" s="47">
        <v>2.2435405563808613</v>
      </c>
      <c r="FK20" s="47">
        <v>2.0564245308774205</v>
      </c>
      <c r="FL20" s="47">
        <v>2.0735148449575873</v>
      </c>
      <c r="FM20" s="47">
        <v>2.0831764645618294</v>
      </c>
      <c r="FN20" s="47">
        <v>2.0142816619239112</v>
      </c>
      <c r="FO20" s="47">
        <v>1.9212725761007454</v>
      </c>
      <c r="FP20" s="47">
        <v>2.0569624824674371</v>
      </c>
      <c r="FQ20" s="47">
        <v>1.7313530687709739</v>
      </c>
      <c r="FR20" s="47">
        <v>1.4924433573197893</v>
      </c>
      <c r="FS20" s="47">
        <v>1.5693212455463668</v>
      </c>
      <c r="FT20" s="47">
        <v>1.6045840307477337</v>
      </c>
      <c r="FU20" s="47">
        <v>1.5748402672228903</v>
      </c>
      <c r="FV20" s="47">
        <v>1.5096634338234203</v>
      </c>
      <c r="FW20" s="47">
        <v>1.4835701649885884</v>
      </c>
      <c r="FX20" s="47">
        <v>1.497539417206093</v>
      </c>
      <c r="FY20" s="47">
        <v>1.4888769962532615</v>
      </c>
      <c r="FZ20" s="47">
        <v>1.4615170918599145</v>
      </c>
      <c r="GA20" s="47">
        <v>1.4922809388554443</v>
      </c>
      <c r="GB20" s="47">
        <v>1.4182953288311804</v>
      </c>
      <c r="GC20" s="47">
        <v>1.4616785123082179</v>
      </c>
      <c r="GD20" s="47">
        <v>1.5486727398325091</v>
      </c>
      <c r="GE20" s="47">
        <v>1.4542141934734933</v>
      </c>
      <c r="GF20" s="47">
        <v>1.4017196909661604</v>
      </c>
      <c r="GG20" s="47">
        <v>1.3525767439425525</v>
      </c>
      <c r="GH20" s="47">
        <v>1.2567989658746901</v>
      </c>
      <c r="GI20" s="47">
        <v>1.21441425048743</v>
      </c>
      <c r="GJ20" s="47">
        <v>1.17601735886639</v>
      </c>
      <c r="GK20" s="47">
        <v>1.0720507181260599</v>
      </c>
      <c r="GL20" s="47">
        <v>1.0607076996250999</v>
      </c>
      <c r="GM20" s="47">
        <v>1.0463537883310701</v>
      </c>
      <c r="GN20" s="47">
        <v>1.0622104667837899</v>
      </c>
      <c r="GO20" s="47">
        <v>1.03221946446723</v>
      </c>
      <c r="GP20" s="47">
        <v>1.0464104382467301</v>
      </c>
      <c r="GQ20" s="47">
        <v>1.0464104382467301</v>
      </c>
      <c r="GR20" s="47">
        <v>1.0767445868726899</v>
      </c>
      <c r="GS20" s="47">
        <v>1.04933828143643</v>
      </c>
      <c r="GT20" s="47">
        <v>1.0035158895839</v>
      </c>
      <c r="GU20" s="47">
        <v>1.0051194791287601</v>
      </c>
      <c r="GV20" s="47">
        <v>1.00961244014806</v>
      </c>
      <c r="GW20" s="47">
        <v>1.0408210746450299</v>
      </c>
      <c r="GX20" s="47">
        <v>1.0120892943696</v>
      </c>
      <c r="GY20" s="47">
        <v>1.01721680988842</v>
      </c>
      <c r="GZ20" s="47">
        <v>1.0376510392959399</v>
      </c>
      <c r="HA20" s="47">
        <v>1.01664759040432</v>
      </c>
      <c r="HB20" s="47">
        <v>1.0389474718301199</v>
      </c>
      <c r="HC20" s="47">
        <v>1.0363665787121401</v>
      </c>
      <c r="HD20" s="47">
        <v>1.0478138232982299</v>
      </c>
      <c r="HE20" s="47">
        <v>1.0096549892773501</v>
      </c>
      <c r="HF20" s="47">
        <v>0.99981678139421104</v>
      </c>
      <c r="HG20" s="47">
        <v>1.00369101612707</v>
      </c>
      <c r="HH20" s="47">
        <v>1.00627328424267</v>
      </c>
      <c r="HI20" s="47">
        <v>1.02745034815401</v>
      </c>
      <c r="HJ20" s="47">
        <v>1.0425598914997301</v>
      </c>
      <c r="HK20" s="47">
        <v>1.08569564326224</v>
      </c>
      <c r="HL20" s="47">
        <v>1.10167200447266</v>
      </c>
      <c r="HM20" s="47">
        <v>1.1621298541333001</v>
      </c>
      <c r="HN20" s="47">
        <v>1.1673087901075301</v>
      </c>
      <c r="HO20" s="47">
        <v>1.1710470663728301</v>
      </c>
      <c r="HP20" s="47">
        <v>1.36890804499965</v>
      </c>
      <c r="HQ20" s="47">
        <v>1.48835764389321</v>
      </c>
      <c r="HR20" s="47">
        <v>1.5516055127272499</v>
      </c>
      <c r="HS20" s="47">
        <v>1.58712598690928</v>
      </c>
      <c r="HT20" s="47">
        <v>1.68295266986514</v>
      </c>
      <c r="HU20" s="47">
        <v>1.71477695199615</v>
      </c>
      <c r="HV20" s="47">
        <v>1.73778554735215</v>
      </c>
      <c r="HW20" s="47">
        <v>1.8055216600237101</v>
      </c>
      <c r="HX20" s="47">
        <v>1.8559104197434</v>
      </c>
      <c r="HY20" s="47">
        <v>1.8563846034803599</v>
      </c>
      <c r="HZ20" s="47">
        <v>1.80116818074162</v>
      </c>
      <c r="IA20" s="47">
        <v>1.8523083107353799</v>
      </c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</row>
    <row r="21" spans="1:451">
      <c r="A21" s="20" t="s">
        <v>278</v>
      </c>
      <c r="B21" s="33" t="s">
        <v>227</v>
      </c>
      <c r="C21" s="20" t="s">
        <v>278</v>
      </c>
      <c r="D21" s="43">
        <v>11.84</v>
      </c>
      <c r="E21" s="44">
        <v>11.31</v>
      </c>
      <c r="F21" s="44">
        <v>11.35</v>
      </c>
      <c r="G21" s="44">
        <v>11.28</v>
      </c>
      <c r="H21" s="44">
        <v>11.11</v>
      </c>
      <c r="I21" s="44">
        <v>10.94</v>
      </c>
      <c r="J21" s="44">
        <v>10.96</v>
      </c>
      <c r="K21" s="44">
        <v>11.05</v>
      </c>
      <c r="L21" s="44">
        <v>11.11</v>
      </c>
      <c r="M21" s="44">
        <v>11</v>
      </c>
      <c r="N21" s="44">
        <v>11.021139172912003</v>
      </c>
      <c r="O21" s="44">
        <v>11.035735881201708</v>
      </c>
      <c r="P21" s="44">
        <v>11.112685931746908</v>
      </c>
      <c r="Q21" s="44">
        <v>11.077580555278269</v>
      </c>
      <c r="R21" s="44">
        <v>11.064971337316056</v>
      </c>
      <c r="S21" s="44">
        <v>11.164420551792082</v>
      </c>
      <c r="T21" s="44">
        <v>11.574503705797216</v>
      </c>
      <c r="U21" s="44">
        <v>11.308739604376848</v>
      </c>
      <c r="V21" s="44">
        <v>11.418956118494089</v>
      </c>
      <c r="W21" s="44">
        <v>11.405602200063285</v>
      </c>
      <c r="X21" s="44">
        <v>11.504431609033764</v>
      </c>
      <c r="Y21" s="44">
        <v>11.594182302563022</v>
      </c>
      <c r="Z21" s="44">
        <v>12.134935970931529</v>
      </c>
      <c r="AA21" s="44">
        <v>11.912865023580872</v>
      </c>
      <c r="AB21" s="44">
        <v>11.900517194848453</v>
      </c>
      <c r="AC21" s="44">
        <v>11.871718978327999</v>
      </c>
      <c r="AD21" s="44">
        <v>11.883503829963688</v>
      </c>
      <c r="AE21" s="44">
        <v>11.880735648142839</v>
      </c>
      <c r="AF21" s="44">
        <v>12.835454227652253</v>
      </c>
      <c r="AG21" s="44">
        <v>12.91470547902761</v>
      </c>
      <c r="AH21" s="44">
        <v>13.201737182208808</v>
      </c>
      <c r="AI21" s="44">
        <v>13.344950519818131</v>
      </c>
      <c r="AJ21" s="44">
        <v>13.391260270557884</v>
      </c>
      <c r="AK21" s="44">
        <v>13.399505641998347</v>
      </c>
      <c r="AL21" s="44">
        <v>13.507384920769143</v>
      </c>
      <c r="AM21" s="44">
        <v>13.507160093594369</v>
      </c>
      <c r="AN21" s="44">
        <v>13.5205987056854</v>
      </c>
      <c r="AO21" s="44">
        <v>13.29076101755687</v>
      </c>
      <c r="AP21" s="44">
        <v>13.366607610684266</v>
      </c>
      <c r="AQ21" s="44">
        <v>13.353189078514378</v>
      </c>
      <c r="AR21" s="44">
        <v>13.243089545643123</v>
      </c>
      <c r="AS21" s="44">
        <v>11.618964281705617</v>
      </c>
      <c r="AT21" s="44">
        <v>13.28841647613347</v>
      </c>
      <c r="AU21" s="44">
        <v>13.081577072566672</v>
      </c>
      <c r="AV21" s="44">
        <v>13.132924849884471</v>
      </c>
      <c r="AW21" s="44">
        <v>12.431559395672725</v>
      </c>
      <c r="AX21" s="44">
        <v>12.484316543644336</v>
      </c>
      <c r="AY21" s="44">
        <v>13.451329609127251</v>
      </c>
      <c r="AZ21" s="44">
        <v>13.414333155773225</v>
      </c>
      <c r="BA21" s="44">
        <v>12.526522321207199</v>
      </c>
      <c r="BB21" s="44">
        <v>12.546825205565002</v>
      </c>
      <c r="BC21" s="44">
        <v>12.62692580162574</v>
      </c>
      <c r="BD21" s="44">
        <v>12.848958547952687</v>
      </c>
      <c r="BE21" s="44">
        <v>12.825380392200087</v>
      </c>
      <c r="BF21" s="44">
        <v>12.74574707284367</v>
      </c>
      <c r="BG21" s="44">
        <v>12.955385803248554</v>
      </c>
      <c r="BH21" s="44">
        <v>12.876111802423967</v>
      </c>
      <c r="BI21" s="44">
        <v>13.004780060577403</v>
      </c>
      <c r="BJ21" s="44">
        <v>13.12439813694578</v>
      </c>
      <c r="BK21" s="44">
        <v>13.022681106290463</v>
      </c>
      <c r="BL21" s="44">
        <v>12.916675802190166</v>
      </c>
      <c r="BM21" s="44">
        <v>12.927299867895835</v>
      </c>
      <c r="BN21" s="44">
        <v>13.094726106597989</v>
      </c>
      <c r="BO21" s="44">
        <v>13.048777356303605</v>
      </c>
      <c r="BP21" s="44">
        <v>12.981188521208457</v>
      </c>
      <c r="BQ21" s="44">
        <v>12.956529398041951</v>
      </c>
      <c r="BR21" s="44">
        <v>13.077579014011102</v>
      </c>
      <c r="BS21" s="44">
        <v>12.964980448510282</v>
      </c>
      <c r="BT21" s="44">
        <v>13.0023523863369</v>
      </c>
      <c r="BU21" s="44">
        <v>12.756527573406053</v>
      </c>
      <c r="BV21" s="44">
        <v>12.719200990982028</v>
      </c>
      <c r="BW21" s="44">
        <v>12.732468439124963</v>
      </c>
      <c r="BX21" s="44">
        <v>12.729441173789541</v>
      </c>
      <c r="BY21" s="44">
        <v>12.984551632049305</v>
      </c>
      <c r="BZ21" s="44">
        <v>12.743638873925089</v>
      </c>
      <c r="CA21" s="44">
        <v>12.768264640149484</v>
      </c>
      <c r="CB21" s="44">
        <v>11.923815531857805</v>
      </c>
      <c r="CC21" s="44">
        <v>11.79856147881506</v>
      </c>
      <c r="CD21" s="44">
        <v>12.199262202728141</v>
      </c>
      <c r="CE21" s="44">
        <v>11.710490413278301</v>
      </c>
      <c r="CF21" s="44">
        <v>11.750456142113922</v>
      </c>
      <c r="CG21" s="44">
        <v>11.81648575753602</v>
      </c>
      <c r="CH21" s="44">
        <v>12.429199170960713</v>
      </c>
      <c r="CI21" s="44">
        <v>12.122890279114337</v>
      </c>
      <c r="CJ21" s="44">
        <v>12.359555717431775</v>
      </c>
      <c r="CK21" s="44">
        <v>12.253497705393917</v>
      </c>
      <c r="CL21" s="44">
        <v>12.227727167022065</v>
      </c>
      <c r="CM21" s="44">
        <v>12.252718959584213</v>
      </c>
      <c r="CN21" s="44">
        <v>12.196321482913383</v>
      </c>
      <c r="CO21" s="44">
        <v>12.263379373083392</v>
      </c>
      <c r="CP21" s="44">
        <v>12.217175248999983</v>
      </c>
      <c r="CQ21" s="44">
        <v>11.940996282817975</v>
      </c>
      <c r="CR21" s="44">
        <v>11.963156467023266</v>
      </c>
      <c r="CS21" s="44">
        <v>11.955020417816115</v>
      </c>
      <c r="CT21" s="44">
        <v>11.798594812519939</v>
      </c>
      <c r="CU21" s="44">
        <v>11.868830979202873</v>
      </c>
      <c r="CV21" s="44">
        <v>11.865905826383999</v>
      </c>
      <c r="CW21" s="44">
        <v>11.586920938520425</v>
      </c>
      <c r="CX21" s="44">
        <v>11.533261589874979</v>
      </c>
      <c r="CY21" s="44">
        <v>11.490229631832531</v>
      </c>
      <c r="CZ21" s="44">
        <v>11.46727826321505</v>
      </c>
      <c r="DA21" s="44">
        <v>11.276360525652848</v>
      </c>
      <c r="DB21" s="44">
        <v>11.221170275980894</v>
      </c>
      <c r="DC21" s="44">
        <v>10.984794895047271</v>
      </c>
      <c r="DD21" s="44">
        <v>10.987971763587419</v>
      </c>
      <c r="DE21" s="44">
        <v>10.862905998821347</v>
      </c>
      <c r="DF21" s="44">
        <v>10.855628361200253</v>
      </c>
      <c r="DG21" s="44">
        <v>10.702471630546356</v>
      </c>
      <c r="DH21" s="44">
        <v>10.333723260430761</v>
      </c>
      <c r="DI21" s="44">
        <v>10.312087439673125</v>
      </c>
      <c r="DJ21" s="44">
        <v>10.235234044967845</v>
      </c>
      <c r="DK21" s="44">
        <v>10.513257807749998</v>
      </c>
      <c r="DL21" s="44">
        <v>10.4132743935773</v>
      </c>
      <c r="DM21" s="44">
        <v>10.505976317464857</v>
      </c>
      <c r="DN21" s="44">
        <v>10.454970302788739</v>
      </c>
      <c r="DO21" s="44">
        <v>10.230262844369511</v>
      </c>
      <c r="DP21" s="44">
        <v>10.233877910456503</v>
      </c>
      <c r="DQ21" s="44">
        <v>10.125521917766525</v>
      </c>
      <c r="DR21" s="44">
        <v>10.188381433862716</v>
      </c>
      <c r="DS21" s="44">
        <v>10.166293288828475</v>
      </c>
      <c r="DT21" s="44">
        <v>10.290629842626458</v>
      </c>
      <c r="DU21" s="44">
        <v>10.17216331247598</v>
      </c>
      <c r="DV21" s="44">
        <v>10.210000000000001</v>
      </c>
      <c r="DW21" s="44">
        <v>10.102544296677912</v>
      </c>
      <c r="DX21" s="44">
        <v>10.328986206147002</v>
      </c>
      <c r="DY21" s="44">
        <v>10.015686456194251</v>
      </c>
      <c r="DZ21" s="44">
        <v>10.017377025026963</v>
      </c>
      <c r="EA21" s="44">
        <v>10.117376373659393</v>
      </c>
      <c r="EB21" s="44">
        <v>10.055358625170536</v>
      </c>
      <c r="EC21" s="44">
        <v>9.9383568681949299</v>
      </c>
      <c r="ED21" s="44">
        <v>10.38000971372329</v>
      </c>
      <c r="EE21" s="44">
        <v>10.083465817865942</v>
      </c>
      <c r="EF21" s="44">
        <v>9.9872151538701655</v>
      </c>
      <c r="EG21" s="44">
        <v>9.9091583380620545</v>
      </c>
      <c r="EH21" s="44">
        <v>9.3329641085421269</v>
      </c>
      <c r="EI21" s="44">
        <v>8.9724906007330461</v>
      </c>
      <c r="EJ21" s="44">
        <v>8.2319422762121501</v>
      </c>
      <c r="EK21" s="44">
        <v>7.8337206396019923</v>
      </c>
      <c r="EL21" s="44">
        <v>7.6216543792043874</v>
      </c>
      <c r="EM21" s="44">
        <v>7.4155641121494122</v>
      </c>
      <c r="EN21" s="44">
        <v>7.0385621355243755</v>
      </c>
      <c r="EO21" s="44">
        <v>7.0444289143481109</v>
      </c>
      <c r="EP21" s="44">
        <v>6.9147575062960485</v>
      </c>
      <c r="EQ21" s="44">
        <v>6.6976644379203352</v>
      </c>
      <c r="ER21" s="44">
        <v>6.9974294742067231</v>
      </c>
      <c r="ES21" s="44">
        <v>6.1496849971792011</v>
      </c>
      <c r="ET21" s="44">
        <v>5.7430878382883739</v>
      </c>
      <c r="EU21" s="44">
        <v>5.4976277537937799</v>
      </c>
      <c r="EV21" s="44">
        <v>5.271459085253678</v>
      </c>
      <c r="EW21" s="44">
        <v>4.8298218298903173</v>
      </c>
      <c r="EX21" s="44">
        <v>4.6679298060732926</v>
      </c>
      <c r="EY21" s="44">
        <v>4.4798285829830382</v>
      </c>
      <c r="EZ21" s="44">
        <v>4.3345148385700192</v>
      </c>
      <c r="FA21" s="44">
        <v>4.227386790011475</v>
      </c>
      <c r="FB21" s="44">
        <v>4.1223638273863807</v>
      </c>
      <c r="FC21" s="44">
        <v>3.9917731860567027</v>
      </c>
      <c r="FD21" s="44">
        <v>3.4610073153671714</v>
      </c>
      <c r="FE21" s="47">
        <v>3.2525785146851329</v>
      </c>
      <c r="FF21" s="47">
        <v>3.0717222824453936</v>
      </c>
      <c r="FG21" s="47">
        <v>2.9363332468755527</v>
      </c>
      <c r="FH21" s="47">
        <v>2.9818260894754269</v>
      </c>
      <c r="FI21" s="47">
        <v>2.9411213936385057</v>
      </c>
      <c r="FJ21" s="47">
        <v>2.9268235000447294</v>
      </c>
      <c r="FK21" s="47">
        <v>2.8627005567076775</v>
      </c>
      <c r="FL21" s="47">
        <v>2.7165592489803072</v>
      </c>
      <c r="FM21" s="47">
        <v>2.6424659725491479</v>
      </c>
      <c r="FN21" s="47">
        <v>2.6087348426207684</v>
      </c>
      <c r="FO21" s="47">
        <v>2.5696443083203553</v>
      </c>
      <c r="FP21" s="47">
        <v>2.6470503928508671</v>
      </c>
      <c r="FQ21" s="47">
        <v>2.9005195752920203</v>
      </c>
      <c r="FR21" s="47">
        <v>3.2542053436457161</v>
      </c>
      <c r="FS21" s="47">
        <v>3.2714059772256263</v>
      </c>
      <c r="FT21" s="47">
        <v>3.1842506683032492</v>
      </c>
      <c r="FU21" s="47">
        <v>3.2714983931248325</v>
      </c>
      <c r="FV21" s="47">
        <v>3.3482189549584067</v>
      </c>
      <c r="FW21" s="47">
        <v>3.1403565279862824</v>
      </c>
      <c r="FX21" s="47">
        <v>3.1437272681288677</v>
      </c>
      <c r="FY21" s="47">
        <v>3.0009951570481861</v>
      </c>
      <c r="FZ21" s="47">
        <v>2.9578349605236962</v>
      </c>
      <c r="GA21" s="47">
        <v>3.003876761611973</v>
      </c>
      <c r="GB21" s="47">
        <v>2.8915466543164654</v>
      </c>
      <c r="GC21" s="47">
        <v>2.5861884376715172</v>
      </c>
      <c r="GD21" s="47">
        <v>2.5208494790760394</v>
      </c>
      <c r="GE21" s="47">
        <v>2.3795421355998445</v>
      </c>
      <c r="GF21" s="47">
        <v>2.2880573020640211</v>
      </c>
      <c r="GG21" s="47">
        <v>1.9906366878689508</v>
      </c>
      <c r="GH21" s="47">
        <v>2.1473422175536299</v>
      </c>
      <c r="GI21" s="47">
        <v>2.0283076943374301</v>
      </c>
      <c r="GJ21" s="47">
        <v>2.0206728097038398</v>
      </c>
      <c r="GK21" s="47">
        <v>2.0449815111245302</v>
      </c>
      <c r="GL21" s="47">
        <v>1.9717847439405201</v>
      </c>
      <c r="GM21" s="47">
        <v>1.91281038698969</v>
      </c>
      <c r="GN21" s="47">
        <v>2.0005521116115101</v>
      </c>
      <c r="GO21" s="47">
        <v>1.99069155580274</v>
      </c>
      <c r="GP21" s="47">
        <v>1.96377948927774</v>
      </c>
      <c r="GQ21" s="47">
        <v>1.96377948927774</v>
      </c>
      <c r="GR21" s="47">
        <v>2.01317169262816</v>
      </c>
      <c r="GS21" s="47">
        <v>1.9511421916442799</v>
      </c>
      <c r="GT21" s="47">
        <v>1.83856831384498</v>
      </c>
      <c r="GU21" s="47">
        <v>1.6821963936673301</v>
      </c>
      <c r="GV21" s="47">
        <v>1.76041536385055</v>
      </c>
      <c r="GW21" s="47">
        <v>1.70222515377438</v>
      </c>
      <c r="GX21" s="47">
        <v>1.68694970591138</v>
      </c>
      <c r="GY21" s="47">
        <v>1.7872770340244599</v>
      </c>
      <c r="GZ21" s="47">
        <v>1.7656889929694299</v>
      </c>
      <c r="HA21" s="47">
        <v>1.6616530478818199</v>
      </c>
      <c r="HB21" s="47">
        <v>1.6407372898600801</v>
      </c>
      <c r="HC21" s="47">
        <v>1.6390827298269399</v>
      </c>
      <c r="HD21" s="47">
        <v>1.6021511531264101</v>
      </c>
      <c r="HE21" s="47">
        <v>1.60763882003166</v>
      </c>
      <c r="HF21" s="47">
        <v>1.5598445457903001</v>
      </c>
      <c r="HG21" s="47">
        <v>1.56914508967818</v>
      </c>
      <c r="HH21" s="47">
        <v>1.32157867705695</v>
      </c>
      <c r="HI21" s="47">
        <v>1.3288143772399099</v>
      </c>
      <c r="HJ21" s="47">
        <v>1.3268178626828599</v>
      </c>
      <c r="HK21" s="47">
        <v>1.32783000825033</v>
      </c>
      <c r="HL21" s="47">
        <v>1.3859170102995799</v>
      </c>
      <c r="HM21" s="47">
        <v>1.3918107474614601</v>
      </c>
      <c r="HN21" s="47">
        <v>1.39880096034645</v>
      </c>
      <c r="HO21" s="47">
        <v>1.4156681177388299</v>
      </c>
      <c r="HP21" s="47">
        <v>1.43053328224175</v>
      </c>
      <c r="HQ21" s="47">
        <v>1.4965008302467</v>
      </c>
      <c r="HR21" s="47">
        <v>1.5017051767668901</v>
      </c>
      <c r="HS21" s="47">
        <v>1.5541087222513501</v>
      </c>
      <c r="HT21" s="47">
        <v>1.7833708339855601</v>
      </c>
      <c r="HU21" s="47">
        <v>1.9194500792103399</v>
      </c>
      <c r="HV21" s="47">
        <v>1.9320316943740601</v>
      </c>
      <c r="HW21" s="47">
        <v>1.9921417375257999</v>
      </c>
      <c r="HX21" s="47">
        <v>1.97757144427092</v>
      </c>
      <c r="HY21" s="47">
        <v>2.0270138517225198</v>
      </c>
      <c r="HZ21" s="47">
        <v>2.05037694234636</v>
      </c>
      <c r="IA21" s="47">
        <v>2.5624116599845399</v>
      </c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</row>
    <row r="22" spans="1:451">
      <c r="A22" s="20" t="s">
        <v>279</v>
      </c>
      <c r="B22" s="33" t="s">
        <v>220</v>
      </c>
      <c r="C22" s="20" t="s">
        <v>279</v>
      </c>
      <c r="D22" s="43">
        <v>14.87</v>
      </c>
      <c r="E22" s="44">
        <v>15</v>
      </c>
      <c r="F22" s="44">
        <v>15</v>
      </c>
      <c r="G22" s="44">
        <v>14.98</v>
      </c>
      <c r="H22" s="44">
        <v>14.96</v>
      </c>
      <c r="I22" s="44">
        <v>14.94</v>
      </c>
      <c r="J22" s="44">
        <v>14.92</v>
      </c>
      <c r="K22" s="44">
        <v>14.96</v>
      </c>
      <c r="L22" s="44">
        <v>14.82</v>
      </c>
      <c r="M22" s="44">
        <v>14.79</v>
      </c>
      <c r="N22" s="44">
        <v>14.75</v>
      </c>
      <c r="O22" s="44">
        <v>14.814964821853692</v>
      </c>
      <c r="P22" s="44">
        <v>14.83</v>
      </c>
      <c r="Q22" s="44">
        <v>14.83</v>
      </c>
      <c r="R22" s="44">
        <v>14.89</v>
      </c>
      <c r="S22" s="44">
        <v>14.89</v>
      </c>
      <c r="T22" s="44">
        <v>14.89</v>
      </c>
      <c r="U22" s="44">
        <v>14.89</v>
      </c>
      <c r="V22" s="44">
        <v>14.89</v>
      </c>
      <c r="W22" s="44">
        <v>14.89</v>
      </c>
      <c r="X22" s="44">
        <v>14.84</v>
      </c>
      <c r="Y22" s="44">
        <v>14.837924407431135</v>
      </c>
      <c r="Z22" s="44">
        <v>14.831285954123871</v>
      </c>
      <c r="AA22" s="44">
        <v>14.84290939663795</v>
      </c>
      <c r="AB22" s="44">
        <v>14.833311549055772</v>
      </c>
      <c r="AC22" s="44">
        <v>14.902051219313268</v>
      </c>
      <c r="AD22" s="44">
        <v>14.902051219313268</v>
      </c>
      <c r="AE22" s="44">
        <v>14.91</v>
      </c>
      <c r="AF22" s="44">
        <v>14.900707126381535</v>
      </c>
      <c r="AG22" s="44">
        <v>14.89724850649622</v>
      </c>
      <c r="AH22" s="44">
        <v>14.918440841450645</v>
      </c>
      <c r="AI22" s="44">
        <v>14.913244616450159</v>
      </c>
      <c r="AJ22" s="44">
        <v>15.891006364726502</v>
      </c>
      <c r="AK22" s="44">
        <v>15.84252989596704</v>
      </c>
      <c r="AL22" s="44">
        <v>15.81460469967289</v>
      </c>
      <c r="AM22" s="44">
        <v>15.851481125990185</v>
      </c>
      <c r="AN22" s="44">
        <v>16.005921147596382</v>
      </c>
      <c r="AO22" s="44">
        <v>15.36246190272607</v>
      </c>
      <c r="AP22" s="44">
        <v>15.353163129504781</v>
      </c>
      <c r="AQ22" s="44">
        <v>15.343256092733878</v>
      </c>
      <c r="AR22" s="44">
        <v>15.442003692288184</v>
      </c>
      <c r="AS22" s="44">
        <v>15.440769995903146</v>
      </c>
      <c r="AT22" s="44">
        <v>15.49366996467128</v>
      </c>
      <c r="AU22" s="44">
        <v>15.614263597512023</v>
      </c>
      <c r="AV22" s="44">
        <v>16.041029028591851</v>
      </c>
      <c r="AW22" s="44">
        <v>15.657654049262273</v>
      </c>
      <c r="AX22" s="44">
        <v>15.706877432441258</v>
      </c>
      <c r="AY22" s="44">
        <v>15.733735216972509</v>
      </c>
      <c r="AZ22" s="44">
        <v>15.791909596631974</v>
      </c>
      <c r="BA22" s="44">
        <v>15.758643560350807</v>
      </c>
      <c r="BB22" s="44">
        <v>15.873162182608944</v>
      </c>
      <c r="BC22" s="44">
        <v>16.301230256083002</v>
      </c>
      <c r="BD22" s="44">
        <v>16.418639515329176</v>
      </c>
      <c r="BE22" s="44">
        <v>16.154322926762184</v>
      </c>
      <c r="BF22" s="44">
        <v>15.981921232306975</v>
      </c>
      <c r="BG22" s="44">
        <v>15.988570234781253</v>
      </c>
      <c r="BH22" s="44">
        <v>16.00878595537344</v>
      </c>
      <c r="BI22" s="44">
        <v>16.06943324551197</v>
      </c>
      <c r="BJ22" s="44">
        <v>16.233444842122218</v>
      </c>
      <c r="BK22" s="44">
        <v>16.269294808633383</v>
      </c>
      <c r="BL22" s="44">
        <v>16.14538736760678</v>
      </c>
      <c r="BM22" s="44">
        <v>16.156218022742561</v>
      </c>
      <c r="BN22" s="44">
        <v>16.159575910633098</v>
      </c>
      <c r="BO22" s="44">
        <v>16.100020258701313</v>
      </c>
      <c r="BP22" s="44">
        <v>16.087439735799681</v>
      </c>
      <c r="BQ22" s="44">
        <v>16.121761798017982</v>
      </c>
      <c r="BR22" s="44">
        <v>16.007486332024939</v>
      </c>
      <c r="BS22" s="44">
        <v>15.928459309164204</v>
      </c>
      <c r="BT22" s="44">
        <v>16.156855061347226</v>
      </c>
      <c r="BU22" s="44">
        <v>15.993137980198004</v>
      </c>
      <c r="BV22" s="44">
        <v>15.996622093746453</v>
      </c>
      <c r="BW22" s="44">
        <v>15.785298448251364</v>
      </c>
      <c r="BX22" s="44">
        <v>15.985956557209869</v>
      </c>
      <c r="BY22" s="44">
        <v>18.742061908346198</v>
      </c>
      <c r="BZ22" s="44">
        <v>18.904217034973357</v>
      </c>
      <c r="CA22" s="44">
        <v>18.407878217980798</v>
      </c>
      <c r="CB22" s="44">
        <v>17.945205506619647</v>
      </c>
      <c r="CC22" s="44">
        <v>15.922087606738915</v>
      </c>
      <c r="CD22" s="44">
        <v>15.839783505186437</v>
      </c>
      <c r="CE22" s="44">
        <v>15.888497040808033</v>
      </c>
      <c r="CF22" s="44">
        <v>16.571470564452333</v>
      </c>
      <c r="CG22" s="44">
        <v>15.876008532247255</v>
      </c>
      <c r="CH22" s="44">
        <v>16.379969717591017</v>
      </c>
      <c r="CI22" s="44">
        <v>15.894170534128216</v>
      </c>
      <c r="CJ22" s="44">
        <v>15.717870169093157</v>
      </c>
      <c r="CK22" s="44">
        <v>15.757025856010557</v>
      </c>
      <c r="CL22" s="44">
        <v>16.447058665251003</v>
      </c>
      <c r="CM22" s="44">
        <v>16.23400570080527</v>
      </c>
      <c r="CN22" s="44">
        <v>17.23108352253983</v>
      </c>
      <c r="CO22" s="44">
        <v>17.308174500807372</v>
      </c>
      <c r="CP22" s="44">
        <v>17.404122192094334</v>
      </c>
      <c r="CQ22" s="44">
        <v>17.395767431929563</v>
      </c>
      <c r="CR22" s="44">
        <v>17.92234129253249</v>
      </c>
      <c r="CS22" s="44">
        <v>17.88406860498112</v>
      </c>
      <c r="CT22" s="44">
        <v>17.78618539914795</v>
      </c>
      <c r="CU22" s="44">
        <v>17.640622977346279</v>
      </c>
      <c r="CV22" s="44">
        <v>17.379552525510483</v>
      </c>
      <c r="CW22" s="44">
        <v>17.275002559262052</v>
      </c>
      <c r="CX22" s="44">
        <v>17.798746388807725</v>
      </c>
      <c r="CY22" s="44">
        <v>13.714589679215626</v>
      </c>
      <c r="CZ22" s="44">
        <v>11.662772584437949</v>
      </c>
      <c r="DA22" s="44">
        <v>11.222120203744607</v>
      </c>
      <c r="DB22" s="44">
        <v>11.306126107194235</v>
      </c>
      <c r="DC22" s="44">
        <v>11.269558053014403</v>
      </c>
      <c r="DD22" s="44">
        <v>11.25647406218193</v>
      </c>
      <c r="DE22" s="44">
        <v>11.343509825761824</v>
      </c>
      <c r="DF22" s="44">
        <v>11.325690427947439</v>
      </c>
      <c r="DG22" s="44">
        <v>11.39311853623588</v>
      </c>
      <c r="DH22" s="44">
        <v>11.406727928773178</v>
      </c>
      <c r="DI22" s="44">
        <v>11.420622405539531</v>
      </c>
      <c r="DJ22" s="44">
        <v>11.354949465099201</v>
      </c>
      <c r="DK22" s="44">
        <v>11.40897260514557</v>
      </c>
      <c r="DL22" s="44">
        <v>11.189026625332968</v>
      </c>
      <c r="DM22" s="44">
        <v>11.768748913697079</v>
      </c>
      <c r="DN22" s="44">
        <v>11.693317959197675</v>
      </c>
      <c r="DO22" s="44">
        <v>11.712809851206535</v>
      </c>
      <c r="DP22" s="44">
        <v>11.883338602709179</v>
      </c>
      <c r="DQ22" s="44">
        <v>11.560298633417009</v>
      </c>
      <c r="DR22" s="44">
        <v>11.50705983293947</v>
      </c>
      <c r="DS22" s="44">
        <v>9.3400361225415427</v>
      </c>
      <c r="DT22" s="44">
        <v>9.3069655912768887</v>
      </c>
      <c r="DU22" s="44">
        <v>9.4669363242855553</v>
      </c>
      <c r="DV22" s="44">
        <v>9.65</v>
      </c>
      <c r="DW22" s="44">
        <v>9.6948246178328894</v>
      </c>
      <c r="DX22" s="44">
        <v>9.7546704715594252</v>
      </c>
      <c r="DY22" s="44">
        <v>9.5254596010558714</v>
      </c>
      <c r="DZ22" s="44">
        <v>9.6347174242915337</v>
      </c>
      <c r="EA22" s="44">
        <v>9.7193864969744599</v>
      </c>
      <c r="EB22" s="44">
        <v>9.6724562611406082</v>
      </c>
      <c r="EC22" s="44">
        <v>9.6008845819505915</v>
      </c>
      <c r="ED22" s="44">
        <v>9.7928799400588051</v>
      </c>
      <c r="EE22" s="44">
        <v>9.9669233901078105</v>
      </c>
      <c r="EF22" s="44">
        <v>9.8150254753686923</v>
      </c>
      <c r="EG22" s="44">
        <v>9.8503870448395432</v>
      </c>
      <c r="EH22" s="44">
        <v>9.5114820356581582</v>
      </c>
      <c r="EI22" s="44">
        <v>9.2375595941066937</v>
      </c>
      <c r="EJ22" s="44">
        <v>8.8003835213264807</v>
      </c>
      <c r="EK22" s="44">
        <v>8.8471504055191694</v>
      </c>
      <c r="EL22" s="44">
        <v>9.1877321362774715</v>
      </c>
      <c r="EM22" s="44">
        <v>9.0801229200021876</v>
      </c>
      <c r="EN22" s="44">
        <v>8.5967596155736761</v>
      </c>
      <c r="EO22" s="44">
        <v>8.4470431241100936</v>
      </c>
      <c r="EP22" s="44">
        <v>8.6598299001298606</v>
      </c>
      <c r="EQ22" s="44">
        <v>8.5078565811048303</v>
      </c>
      <c r="ER22" s="44">
        <v>8.2863815665661811</v>
      </c>
      <c r="ES22" s="44">
        <v>8.1796016549017292</v>
      </c>
      <c r="ET22" s="44">
        <v>8.3117303013835482</v>
      </c>
      <c r="EU22" s="44">
        <v>8.0731201878007077</v>
      </c>
      <c r="EV22" s="44">
        <v>8.3544858429879305</v>
      </c>
      <c r="EW22" s="44">
        <v>8.3079783883649583</v>
      </c>
      <c r="EX22" s="44">
        <v>8.1154255907744535</v>
      </c>
      <c r="EY22" s="44">
        <v>8.0782489247292375</v>
      </c>
      <c r="EZ22" s="44">
        <v>8.0626202757923942</v>
      </c>
      <c r="FA22" s="44">
        <v>7.9862367813933464</v>
      </c>
      <c r="FB22" s="44">
        <v>7.980882793182241</v>
      </c>
      <c r="FC22" s="44">
        <v>7.9007932948718951</v>
      </c>
      <c r="FD22" s="44">
        <v>6.5199709137424637</v>
      </c>
      <c r="FE22" s="47">
        <v>6.5552726819701856</v>
      </c>
      <c r="FF22" s="47">
        <v>6.4247421545577703</v>
      </c>
      <c r="FG22" s="47">
        <v>6.2445370105275959</v>
      </c>
      <c r="FH22" s="47">
        <v>5.9329104525000886</v>
      </c>
      <c r="FI22" s="47">
        <v>5.0661766833800215</v>
      </c>
      <c r="FJ22" s="47">
        <v>5.1757559744703627</v>
      </c>
      <c r="FK22" s="47">
        <v>5.135415227443362</v>
      </c>
      <c r="FL22" s="47">
        <v>5.115790657533049</v>
      </c>
      <c r="FM22" s="47">
        <v>5.1754020778788687</v>
      </c>
      <c r="FN22" s="47">
        <v>5.1875969639594643</v>
      </c>
      <c r="FO22" s="47">
        <v>5.2839046526397579</v>
      </c>
      <c r="FP22" s="47">
        <v>5.214462880125696</v>
      </c>
      <c r="FQ22" s="47">
        <v>4.7449134030075113</v>
      </c>
      <c r="FR22" s="47">
        <v>5.3053429944296644</v>
      </c>
      <c r="FS22" s="47">
        <v>5.0919033981244821</v>
      </c>
      <c r="FT22" s="47">
        <v>5.0778329122769668</v>
      </c>
      <c r="FU22" s="47">
        <v>4.9693047409019124</v>
      </c>
      <c r="FV22" s="47">
        <v>5.0097966646531766</v>
      </c>
      <c r="FW22" s="47">
        <v>5.0763843897272345</v>
      </c>
      <c r="FX22" s="47">
        <v>5.1181607226836396</v>
      </c>
      <c r="FY22" s="47">
        <v>5.057373052347562</v>
      </c>
      <c r="FZ22" s="47">
        <v>5.043255889768254</v>
      </c>
      <c r="GA22" s="47">
        <v>4.9873021490057976</v>
      </c>
      <c r="GB22" s="47">
        <v>4.8284059743152623</v>
      </c>
      <c r="GC22" s="47">
        <v>4.5623015832487193</v>
      </c>
      <c r="GD22" s="47">
        <v>4.6410822017655766</v>
      </c>
      <c r="GE22" s="47">
        <v>3.7029094976115768</v>
      </c>
      <c r="GF22" s="47">
        <v>4.584727548289921</v>
      </c>
      <c r="GG22" s="47">
        <v>4.5917149721819293</v>
      </c>
      <c r="GH22" s="47">
        <v>4.5809320798156801</v>
      </c>
      <c r="GI22" s="47">
        <v>4.4636225900416102</v>
      </c>
      <c r="GJ22" s="47">
        <v>4.3582156298391803</v>
      </c>
      <c r="GK22" s="47">
        <v>4.3451173665271101</v>
      </c>
      <c r="GL22" s="47">
        <v>4.3748408992406196</v>
      </c>
      <c r="GM22" s="47">
        <v>4.4338188503267597</v>
      </c>
      <c r="GN22" s="47">
        <v>4.4306731734427203</v>
      </c>
      <c r="GO22" s="47">
        <v>4.3897307523020004</v>
      </c>
      <c r="GP22" s="47">
        <v>4.3122400723651602</v>
      </c>
      <c r="GQ22" s="47">
        <v>4.3122400723651602</v>
      </c>
      <c r="GR22" s="47">
        <v>4.2017198998023799</v>
      </c>
      <c r="GS22" s="47">
        <v>4.2709808198751302</v>
      </c>
      <c r="GT22" s="47">
        <v>4.3592590057410501</v>
      </c>
      <c r="GU22" s="47">
        <v>4.3682268539810902</v>
      </c>
      <c r="GV22" s="47">
        <v>4.22751767979255</v>
      </c>
      <c r="GW22" s="47">
        <v>3.98958833841797</v>
      </c>
      <c r="GX22" s="47">
        <v>3.9895709945705802</v>
      </c>
      <c r="GY22" s="47">
        <v>3.9662030544162201</v>
      </c>
      <c r="GZ22" s="47">
        <v>3.7931772946608202</v>
      </c>
      <c r="HA22" s="47">
        <v>3.7649125974577098</v>
      </c>
      <c r="HB22" s="47">
        <v>3.6741304930910301</v>
      </c>
      <c r="HC22" s="47">
        <v>3.4875370484350299</v>
      </c>
      <c r="HD22" s="47">
        <v>3.6646334007071002</v>
      </c>
      <c r="HE22" s="47">
        <v>3.6706978061350402</v>
      </c>
      <c r="HF22" s="47">
        <v>3.6980399311257099</v>
      </c>
      <c r="HG22" s="47">
        <v>3.65582023193193</v>
      </c>
      <c r="HH22" s="47">
        <v>4.8228100843756199</v>
      </c>
      <c r="HI22" s="47">
        <v>4.9234023438309</v>
      </c>
      <c r="HJ22" s="47">
        <v>4.8434374075167401</v>
      </c>
      <c r="HK22" s="47">
        <v>4.6719034236307699</v>
      </c>
      <c r="HL22" s="47">
        <v>4.5809150061344104</v>
      </c>
      <c r="HM22" s="47">
        <v>4.5898292974612502</v>
      </c>
      <c r="HN22" s="47">
        <v>4.4996970970827599</v>
      </c>
      <c r="HO22" s="47">
        <v>4.4161150694593001</v>
      </c>
      <c r="HP22" s="47">
        <v>4.3837267490416103</v>
      </c>
      <c r="HQ22" s="47">
        <v>4.1003875429167298</v>
      </c>
      <c r="HR22" s="47">
        <v>4.0052573470766699</v>
      </c>
      <c r="HS22" s="47">
        <v>3.9267817071632898</v>
      </c>
      <c r="HT22" s="47">
        <v>3.81641836140561</v>
      </c>
      <c r="HU22" s="47">
        <v>3.8150334750280401</v>
      </c>
      <c r="HV22" s="47">
        <v>3.7689638776697398</v>
      </c>
      <c r="HW22" s="47">
        <v>3.7628549797556698</v>
      </c>
      <c r="HX22" s="47">
        <v>3.88401561521917</v>
      </c>
      <c r="HY22" s="47">
        <v>3.8984026893112</v>
      </c>
      <c r="HZ22" s="47">
        <v>3.6833359910221999</v>
      </c>
      <c r="IA22" s="47">
        <v>5.2854217380878401</v>
      </c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</row>
    <row r="23" spans="1:451">
      <c r="A23" s="20"/>
      <c r="B23" s="21" t="s">
        <v>199</v>
      </c>
      <c r="C23" s="20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7"/>
      <c r="FF23" s="47"/>
      <c r="FG23" s="47"/>
      <c r="FH23" s="47"/>
      <c r="FI23" s="47"/>
      <c r="FJ23" s="47"/>
      <c r="FK23" s="47"/>
      <c r="FL23" s="47"/>
      <c r="FM23" s="47"/>
      <c r="FN23" s="48"/>
      <c r="FO23" s="48"/>
      <c r="FP23" s="48"/>
      <c r="FQ23" s="48"/>
      <c r="FR23" s="48"/>
      <c r="FS23" s="12"/>
      <c r="FT23" s="12"/>
      <c r="FU23" s="12"/>
      <c r="FV23" s="12"/>
      <c r="FY23" s="12"/>
      <c r="FZ23" s="12"/>
      <c r="GA23" s="12"/>
      <c r="GB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</row>
    <row r="24" spans="1:451">
      <c r="A24" s="20" t="s">
        <v>280</v>
      </c>
      <c r="B24" s="33" t="s">
        <v>219</v>
      </c>
      <c r="C24" s="20" t="s">
        <v>280</v>
      </c>
      <c r="D24" s="43">
        <v>18.43</v>
      </c>
      <c r="E24" s="44">
        <v>18.96</v>
      </c>
      <c r="F24" s="44">
        <v>18.96</v>
      </c>
      <c r="G24" s="44">
        <v>18.63</v>
      </c>
      <c r="H24" s="44">
        <v>18.649999999999999</v>
      </c>
      <c r="I24" s="44">
        <v>18.489999999999998</v>
      </c>
      <c r="J24" s="44">
        <v>18.43</v>
      </c>
      <c r="K24" s="44">
        <v>18.28</v>
      </c>
      <c r="L24" s="44">
        <v>18.239999999999998</v>
      </c>
      <c r="M24" s="44">
        <v>17.63</v>
      </c>
      <c r="N24" s="44">
        <v>17.526840711242201</v>
      </c>
      <c r="O24" s="44">
        <v>17.280614826569646</v>
      </c>
      <c r="P24" s="44">
        <v>17.438986705997205</v>
      </c>
      <c r="Q24" s="44">
        <v>17.109675437909097</v>
      </c>
      <c r="R24" s="44">
        <v>17.473877674577377</v>
      </c>
      <c r="S24" s="44">
        <v>18.161524482964442</v>
      </c>
      <c r="T24" s="44">
        <v>17.923410596244537</v>
      </c>
      <c r="U24" s="44">
        <v>17.77529163601935</v>
      </c>
      <c r="V24" s="44">
        <v>17.53</v>
      </c>
      <c r="W24" s="44">
        <v>17.504595618916124</v>
      </c>
      <c r="X24" s="44">
        <v>17.457490939544698</v>
      </c>
      <c r="Y24" s="44">
        <v>17.147342819669948</v>
      </c>
      <c r="Z24" s="44">
        <v>17.154112452122174</v>
      </c>
      <c r="AA24" s="44">
        <v>16.825046102604883</v>
      </c>
      <c r="AB24" s="44">
        <v>16.984793797877586</v>
      </c>
      <c r="AC24" s="44">
        <v>17.172992965899521</v>
      </c>
      <c r="AD24" s="44">
        <v>16.63</v>
      </c>
      <c r="AE24" s="44">
        <v>16.84</v>
      </c>
      <c r="AF24" s="44">
        <v>16.36</v>
      </c>
      <c r="AG24" s="44">
        <v>16.37</v>
      </c>
      <c r="AH24" s="44">
        <v>16.25377445498679</v>
      </c>
      <c r="AI24" s="44">
        <v>16.428767417776815</v>
      </c>
      <c r="AJ24" s="44">
        <v>16.767881715478808</v>
      </c>
      <c r="AK24" s="44">
        <v>17.157434871922021</v>
      </c>
      <c r="AL24" s="44">
        <v>17.153924406224622</v>
      </c>
      <c r="AM24" s="44">
        <v>16.974514946360276</v>
      </c>
      <c r="AN24" s="44">
        <v>16.676122147385954</v>
      </c>
      <c r="AO24" s="44">
        <v>16.256982802903423</v>
      </c>
      <c r="AP24" s="44">
        <v>16.166873153027161</v>
      </c>
      <c r="AQ24" s="44">
        <v>16.653475948390021</v>
      </c>
      <c r="AR24" s="44">
        <v>17.867385546781669</v>
      </c>
      <c r="AS24" s="44">
        <v>16.611619154650661</v>
      </c>
      <c r="AT24" s="44">
        <v>14.069109331214882</v>
      </c>
      <c r="AU24" s="44">
        <v>14.106512004063838</v>
      </c>
      <c r="AV24" s="44">
        <v>14.1</v>
      </c>
      <c r="AW24" s="44">
        <v>14.673969347252013</v>
      </c>
      <c r="AX24" s="44">
        <v>14.69821305396143</v>
      </c>
      <c r="AY24" s="44">
        <v>14.887112373845401</v>
      </c>
      <c r="AZ24" s="44">
        <v>14.318693793605547</v>
      </c>
      <c r="BA24" s="44">
        <v>14.522487260765857</v>
      </c>
      <c r="BB24" s="44">
        <v>16.930479180735283</v>
      </c>
      <c r="BC24" s="44">
        <v>16.805104267287458</v>
      </c>
      <c r="BD24" s="44">
        <v>18.511995620808754</v>
      </c>
      <c r="BE24" s="44">
        <v>16.983118922741198</v>
      </c>
      <c r="BF24" s="44">
        <v>18.778254671104399</v>
      </c>
      <c r="BG24" s="44">
        <v>17.590529734428145</v>
      </c>
      <c r="BH24" s="44">
        <v>16.38999262302946</v>
      </c>
      <c r="BI24" s="44">
        <v>15.484034415087605</v>
      </c>
      <c r="BJ24" s="44">
        <v>16.349074122510341</v>
      </c>
      <c r="BK24" s="44">
        <v>18.352515173544425</v>
      </c>
      <c r="BL24" s="44">
        <v>16.708503036153505</v>
      </c>
      <c r="BM24" s="44">
        <v>17.193602079199202</v>
      </c>
      <c r="BN24" s="44">
        <v>15.498976752077441</v>
      </c>
      <c r="BO24" s="44">
        <v>16.996276827951618</v>
      </c>
      <c r="BP24" s="44">
        <v>15.401170681643585</v>
      </c>
      <c r="BQ24" s="44">
        <v>15.271901690316778</v>
      </c>
      <c r="BR24" s="44">
        <v>17.12237150497274</v>
      </c>
      <c r="BS24" s="44">
        <v>17.124731981495003</v>
      </c>
      <c r="BT24" s="44">
        <v>17.53</v>
      </c>
      <c r="BU24" s="44">
        <v>17.390337145860467</v>
      </c>
      <c r="BV24" s="44">
        <v>16.211416945129827</v>
      </c>
      <c r="BW24" s="44">
        <v>16.337698852827373</v>
      </c>
      <c r="BX24" s="44">
        <v>16.434329094164134</v>
      </c>
      <c r="BY24" s="44">
        <v>17.314706809218322</v>
      </c>
      <c r="BZ24" s="44">
        <v>16.863362169449211</v>
      </c>
      <c r="CA24" s="44">
        <v>16.890716700271845</v>
      </c>
      <c r="CB24" s="44">
        <v>16.365042678237014</v>
      </c>
      <c r="CC24" s="44">
        <v>16.549109263255652</v>
      </c>
      <c r="CD24" s="44">
        <v>16.48007265532291</v>
      </c>
      <c r="CE24" s="44">
        <v>16.677382293410862</v>
      </c>
      <c r="CF24" s="44">
        <v>16.423578185724526</v>
      </c>
      <c r="CG24" s="44">
        <v>16.415542063146386</v>
      </c>
      <c r="CH24" s="44">
        <v>16.339857351368092</v>
      </c>
      <c r="CI24" s="44">
        <v>16.273914457259707</v>
      </c>
      <c r="CJ24" s="44">
        <v>16.3381564256504</v>
      </c>
      <c r="CK24" s="44">
        <v>16.788057839345189</v>
      </c>
      <c r="CL24" s="44">
        <v>16.403429338773119</v>
      </c>
      <c r="CM24" s="44">
        <v>16.400008836694379</v>
      </c>
      <c r="CN24" s="44">
        <v>16.163024862257252</v>
      </c>
      <c r="CO24" s="44">
        <v>16.048422986482368</v>
      </c>
      <c r="CP24" s="44">
        <v>16.31048710397177</v>
      </c>
      <c r="CQ24" s="44">
        <v>15.443921649585358</v>
      </c>
      <c r="CR24" s="44">
        <v>15.434881789276496</v>
      </c>
      <c r="CS24" s="44">
        <v>15.521302677934335</v>
      </c>
      <c r="CT24" s="44">
        <v>15.526073106153257</v>
      </c>
      <c r="CU24" s="44">
        <v>15.454166158651386</v>
      </c>
      <c r="CV24" s="44">
        <v>15.623024936514769</v>
      </c>
      <c r="CW24" s="44">
        <v>15.801385800700732</v>
      </c>
      <c r="CX24" s="44">
        <v>15.50613963365452</v>
      </c>
      <c r="CY24" s="44">
        <v>15.459497633014248</v>
      </c>
      <c r="CZ24" s="44">
        <v>15.299708127261228</v>
      </c>
      <c r="DA24" s="44">
        <v>14.872687415046119</v>
      </c>
      <c r="DB24" s="44">
        <v>14.61173801110354</v>
      </c>
      <c r="DC24" s="44">
        <v>14.711426285858071</v>
      </c>
      <c r="DD24" s="44">
        <v>14.828362162055155</v>
      </c>
      <c r="DE24" s="44">
        <v>14.561165275003269</v>
      </c>
      <c r="DF24" s="44">
        <v>14.439608556269141</v>
      </c>
      <c r="DG24" s="44">
        <v>14.548760216632919</v>
      </c>
      <c r="DH24" s="44">
        <v>14.51574563723938</v>
      </c>
      <c r="DI24" s="44">
        <v>14.394101064297516</v>
      </c>
      <c r="DJ24" s="44">
        <v>14.647339731009572</v>
      </c>
      <c r="DK24" s="44">
        <v>14.322030077481909</v>
      </c>
      <c r="DL24" s="44">
        <v>14.787157712109964</v>
      </c>
      <c r="DM24" s="44">
        <v>14.617161366081467</v>
      </c>
      <c r="DN24" s="44">
        <v>14.39369816646434</v>
      </c>
      <c r="DO24" s="44">
        <v>14.844169657225816</v>
      </c>
      <c r="DP24" s="44">
        <v>14.641773445608612</v>
      </c>
      <c r="DQ24" s="44">
        <v>14.539179710778031</v>
      </c>
      <c r="DR24" s="44">
        <v>14.295792122335673</v>
      </c>
      <c r="DS24" s="44">
        <v>14.573242540139283</v>
      </c>
      <c r="DT24" s="44">
        <v>14.532845037996156</v>
      </c>
      <c r="DU24" s="44">
        <v>14.066706477003759</v>
      </c>
      <c r="DV24" s="44">
        <v>14.28</v>
      </c>
      <c r="DW24" s="44">
        <v>13.07741160773741</v>
      </c>
      <c r="DX24" s="44">
        <v>12.898273629131685</v>
      </c>
      <c r="DY24" s="44">
        <v>13.001148645696414</v>
      </c>
      <c r="DZ24" s="44">
        <v>12.638919448718367</v>
      </c>
      <c r="EA24" s="44">
        <v>12.474579178609778</v>
      </c>
      <c r="EB24" s="44">
        <v>12.728993476685533</v>
      </c>
      <c r="EC24" s="44">
        <v>13.007173735737267</v>
      </c>
      <c r="ED24" s="44">
        <v>12.739187615937199</v>
      </c>
      <c r="EE24" s="44">
        <v>13.241377117363118</v>
      </c>
      <c r="EF24" s="44">
        <v>13.737</v>
      </c>
      <c r="EG24" s="44">
        <v>12.525502329406873</v>
      </c>
      <c r="EH24" s="44">
        <v>12.370133783191344</v>
      </c>
      <c r="EI24" s="44">
        <v>12.33983292492276</v>
      </c>
      <c r="EJ24" s="44">
        <v>11.640958846474957</v>
      </c>
      <c r="EK24" s="44">
        <v>11.405322052478029</v>
      </c>
      <c r="EL24" s="44">
        <v>10.186180120543163</v>
      </c>
      <c r="EM24" s="44">
        <v>9.8082447499579981</v>
      </c>
      <c r="EN24" s="44">
        <v>10.303627848739415</v>
      </c>
      <c r="EO24" s="44">
        <v>10.205087899591888</v>
      </c>
      <c r="EP24" s="44">
        <v>10.096247735903264</v>
      </c>
      <c r="EQ24" s="44">
        <v>9.6299558139759966</v>
      </c>
      <c r="ER24" s="44">
        <v>9.1579183901890833</v>
      </c>
      <c r="ES24" s="44">
        <v>8.599636937928949</v>
      </c>
      <c r="ET24" s="44">
        <v>8.8992687691551069</v>
      </c>
      <c r="EU24" s="44">
        <v>8.8137934164512384</v>
      </c>
      <c r="EV24" s="44">
        <v>8.687144211443087</v>
      </c>
      <c r="EW24" s="44">
        <v>8.4258743309535706</v>
      </c>
      <c r="EX24" s="44">
        <v>8.8794381903356037</v>
      </c>
      <c r="EY24" s="44">
        <v>9.838817071248581</v>
      </c>
      <c r="EZ24" s="44">
        <v>10.003277465469413</v>
      </c>
      <c r="FA24" s="44">
        <v>10.615800253013393</v>
      </c>
      <c r="FB24" s="44">
        <v>10.289448787006124</v>
      </c>
      <c r="FC24" s="44">
        <v>10.53268878492427</v>
      </c>
      <c r="FD24" s="44">
        <v>10.369396328526484</v>
      </c>
      <c r="FE24" s="47">
        <v>9.7631805590209275</v>
      </c>
      <c r="FF24" s="47">
        <v>9.656001085819149</v>
      </c>
      <c r="FG24" s="47">
        <v>9.8729388600422929</v>
      </c>
      <c r="FH24" s="47">
        <v>9.7406871802686474</v>
      </c>
      <c r="FI24" s="47">
        <v>9.6476500104021561</v>
      </c>
      <c r="FJ24" s="47">
        <v>9.4854444975377241</v>
      </c>
      <c r="FK24" s="47">
        <v>9.3915462233774747</v>
      </c>
      <c r="FL24" s="47">
        <v>9.1799251819278211</v>
      </c>
      <c r="FM24" s="47">
        <v>9.305413652923562</v>
      </c>
      <c r="FN24" s="47">
        <v>8.8996093326244523</v>
      </c>
      <c r="FO24" s="47">
        <v>8.6529048575154697</v>
      </c>
      <c r="FP24" s="47">
        <v>8.5596931924074404</v>
      </c>
      <c r="FQ24" s="47">
        <v>8.057367810507202</v>
      </c>
      <c r="FR24" s="47">
        <v>7.893831926166464</v>
      </c>
      <c r="FS24" s="48">
        <v>7.8591809055348127</v>
      </c>
      <c r="FT24" s="48">
        <v>7.7891146095907864</v>
      </c>
      <c r="FU24" s="48">
        <v>7.3962388266394381</v>
      </c>
      <c r="FV24" s="48">
        <v>7.3001454124355654</v>
      </c>
      <c r="FW24" s="48">
        <v>7.1337897667991159</v>
      </c>
      <c r="FX24" s="48">
        <v>6.8799967242915194</v>
      </c>
      <c r="FY24" s="48">
        <v>6.8419944244844322</v>
      </c>
      <c r="FZ24" s="48">
        <v>6.644629329579546</v>
      </c>
      <c r="GA24" s="48">
        <v>6.6879136898876004</v>
      </c>
      <c r="GB24" s="48">
        <v>6.1639470836162928</v>
      </c>
      <c r="GC24" s="48">
        <v>5.8997903123803095</v>
      </c>
      <c r="GD24" s="48">
        <v>5.8644022507312439</v>
      </c>
      <c r="GE24" s="48">
        <v>5.8207201877644899</v>
      </c>
      <c r="GF24" s="48">
        <v>5.9684078115837824</v>
      </c>
      <c r="GG24" s="48">
        <v>5.8284454732082898</v>
      </c>
      <c r="GH24" s="48">
        <v>5.6595625105976302</v>
      </c>
      <c r="GI24" s="48">
        <v>5.6147543780618703</v>
      </c>
      <c r="GJ24" s="48">
        <v>5.5854716405733402</v>
      </c>
      <c r="GK24" s="48">
        <v>5.5891485742523797</v>
      </c>
      <c r="GL24" s="48">
        <v>5.5356522942479103</v>
      </c>
      <c r="GM24" s="48">
        <v>5.3922936818449596</v>
      </c>
      <c r="GN24" s="12">
        <v>5.3028692806492801</v>
      </c>
      <c r="GO24" s="48">
        <v>5.2088016821522301</v>
      </c>
      <c r="GP24" s="48">
        <v>5.1685531836404301</v>
      </c>
      <c r="GQ24" s="48">
        <v>5.1685531836404301</v>
      </c>
      <c r="GR24" s="48">
        <v>5.1750981234222202</v>
      </c>
      <c r="GS24" s="48">
        <v>5.10628279299398</v>
      </c>
      <c r="GT24" s="48">
        <v>5.0220964006079702</v>
      </c>
      <c r="GU24" s="48">
        <v>4.97696147945154</v>
      </c>
      <c r="GV24" s="48">
        <v>5.00706345254856</v>
      </c>
      <c r="GW24" s="48">
        <v>5.1401384413875304</v>
      </c>
      <c r="GX24" s="48">
        <v>4.9356884719280201</v>
      </c>
      <c r="GY24" s="48">
        <v>4.9759740954410301</v>
      </c>
      <c r="GZ24" s="48">
        <v>5.0534498537415002</v>
      </c>
      <c r="HA24" s="48">
        <v>5.0013540644799699</v>
      </c>
      <c r="HB24" s="48">
        <v>4.8006556076737601</v>
      </c>
      <c r="HC24" s="48">
        <v>4.79901150341676</v>
      </c>
      <c r="HD24" s="48">
        <v>4.7807085127099</v>
      </c>
      <c r="HE24" s="48">
        <v>4.7562016386869699</v>
      </c>
      <c r="HF24" s="48">
        <v>4.7500716534101697</v>
      </c>
      <c r="HG24" s="48">
        <v>4.7238668263829604</v>
      </c>
      <c r="HH24" s="48">
        <v>4.7714372015424598</v>
      </c>
      <c r="HI24" s="48">
        <v>4.7595533386127897</v>
      </c>
      <c r="HJ24" s="48">
        <v>4.7707425800346401</v>
      </c>
      <c r="HK24" s="48">
        <v>4.7816196010442997</v>
      </c>
      <c r="HL24" s="48">
        <v>4.8030369395157999</v>
      </c>
      <c r="HM24" s="48">
        <v>4.7596209792756801</v>
      </c>
      <c r="HN24" s="48">
        <v>4.8480390931580502</v>
      </c>
      <c r="HO24" s="48">
        <v>4.8166790947837503</v>
      </c>
      <c r="HP24" s="48">
        <v>4.8119880940372202</v>
      </c>
      <c r="HQ24" s="48">
        <v>4.7766814962673703</v>
      </c>
      <c r="HR24" s="48">
        <v>4.7689270805825696</v>
      </c>
      <c r="HS24" s="48">
        <v>4.8706178673976996</v>
      </c>
      <c r="HT24" s="48">
        <v>4.9620718225926801</v>
      </c>
      <c r="HU24" s="48">
        <v>5.0030672625074404</v>
      </c>
      <c r="HV24" s="48">
        <v>4.9973024292736303</v>
      </c>
      <c r="HW24" s="48">
        <v>5.0624689523759301</v>
      </c>
      <c r="HX24" s="48">
        <v>5.1287103470581004</v>
      </c>
      <c r="HY24" s="48">
        <v>5.1570393358473501</v>
      </c>
      <c r="HZ24" s="48">
        <v>5.1183078495815097</v>
      </c>
      <c r="IA24" s="48">
        <v>5.2977295984369404</v>
      </c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</row>
    <row r="25" spans="1:451">
      <c r="A25" s="20" t="s">
        <v>281</v>
      </c>
      <c r="B25" s="33" t="s">
        <v>218</v>
      </c>
      <c r="C25" s="20" t="s">
        <v>281</v>
      </c>
      <c r="D25" s="43">
        <v>17.05</v>
      </c>
      <c r="E25" s="44">
        <v>17.12</v>
      </c>
      <c r="F25" s="44">
        <v>17.39</v>
      </c>
      <c r="G25" s="44">
        <v>17.239999999999998</v>
      </c>
      <c r="H25" s="44">
        <v>17.22</v>
      </c>
      <c r="I25" s="44">
        <v>16.87</v>
      </c>
      <c r="J25" s="44">
        <v>16.809999999999999</v>
      </c>
      <c r="K25" s="44">
        <v>16.47</v>
      </c>
      <c r="L25" s="44">
        <v>16.559999999999999</v>
      </c>
      <c r="M25" s="44">
        <v>15.91</v>
      </c>
      <c r="N25" s="44">
        <v>15.82628791593832</v>
      </c>
      <c r="O25" s="44">
        <v>15.645114164613263</v>
      </c>
      <c r="P25" s="44">
        <v>15.744984857192614</v>
      </c>
      <c r="Q25" s="44">
        <v>15.368755212792308</v>
      </c>
      <c r="R25" s="44">
        <v>15.856708429460477</v>
      </c>
      <c r="S25" s="44">
        <v>16.117413806505262</v>
      </c>
      <c r="T25" s="44">
        <v>15.881153750105765</v>
      </c>
      <c r="U25" s="44">
        <v>15.802690471919322</v>
      </c>
      <c r="V25" s="44">
        <v>15.47</v>
      </c>
      <c r="W25" s="44">
        <v>15.311010153917714</v>
      </c>
      <c r="X25" s="44">
        <v>15.329563799085761</v>
      </c>
      <c r="Y25" s="44">
        <v>15.053588671866944</v>
      </c>
      <c r="Z25" s="44">
        <v>15.022932249551328</v>
      </c>
      <c r="AA25" s="44">
        <v>14.757189231621728</v>
      </c>
      <c r="AB25" s="44">
        <v>14.872920886460719</v>
      </c>
      <c r="AC25" s="44">
        <v>14.807701386018321</v>
      </c>
      <c r="AD25" s="44">
        <v>14.56</v>
      </c>
      <c r="AE25" s="44">
        <v>14.63</v>
      </c>
      <c r="AF25" s="44">
        <v>14.04</v>
      </c>
      <c r="AG25" s="44">
        <v>14.04</v>
      </c>
      <c r="AH25" s="44">
        <v>13.966892862542288</v>
      </c>
      <c r="AI25" s="44">
        <v>14.028285067020292</v>
      </c>
      <c r="AJ25" s="44">
        <v>14.402135313236462</v>
      </c>
      <c r="AK25" s="44">
        <v>14.734094300103179</v>
      </c>
      <c r="AL25" s="44">
        <v>14.636866746889474</v>
      </c>
      <c r="AM25" s="44">
        <v>14.465433626042154</v>
      </c>
      <c r="AN25" s="44">
        <v>14.150161630515905</v>
      </c>
      <c r="AO25" s="44">
        <v>13.715939121794552</v>
      </c>
      <c r="AP25" s="44">
        <v>13.779342336511304</v>
      </c>
      <c r="AQ25" s="44">
        <v>14.237156990575912</v>
      </c>
      <c r="AR25" s="44">
        <v>16.203863333729402</v>
      </c>
      <c r="AS25" s="44">
        <v>14.365434660576341</v>
      </c>
      <c r="AT25" s="44">
        <v>11.512265869145445</v>
      </c>
      <c r="AU25" s="44">
        <v>11.522156061526463</v>
      </c>
      <c r="AV25" s="44">
        <v>11.71</v>
      </c>
      <c r="AW25" s="44">
        <v>11.920213569523382</v>
      </c>
      <c r="AX25" s="44">
        <v>11.978259819080314</v>
      </c>
      <c r="AY25" s="44">
        <v>12.461115121886904</v>
      </c>
      <c r="AZ25" s="44">
        <v>11.934721516251168</v>
      </c>
      <c r="BA25" s="44">
        <v>12.366145150652745</v>
      </c>
      <c r="BB25" s="44">
        <v>15.525247172254872</v>
      </c>
      <c r="BC25" s="44">
        <v>15.305685290632352</v>
      </c>
      <c r="BD25" s="44">
        <v>16.605188530507348</v>
      </c>
      <c r="BE25" s="44">
        <v>15.049534793495217</v>
      </c>
      <c r="BF25" s="44">
        <v>16.536141887856346</v>
      </c>
      <c r="BG25" s="44">
        <v>15.014922478265103</v>
      </c>
      <c r="BH25" s="44">
        <v>13.786681338539655</v>
      </c>
      <c r="BI25" s="44">
        <v>12.705685923312313</v>
      </c>
      <c r="BJ25" s="44">
        <v>13.878704149077201</v>
      </c>
      <c r="BK25" s="44">
        <v>16.062222635255594</v>
      </c>
      <c r="BL25" s="44">
        <v>14.009336170410792</v>
      </c>
      <c r="BM25" s="44">
        <v>14.648754319710969</v>
      </c>
      <c r="BN25" s="44">
        <v>12.573829742785085</v>
      </c>
      <c r="BO25" s="44">
        <v>14.44683601525119</v>
      </c>
      <c r="BP25" s="44">
        <v>12.554504180680217</v>
      </c>
      <c r="BQ25" s="44">
        <v>12.408595922179183</v>
      </c>
      <c r="BR25" s="44">
        <v>14.692390134466972</v>
      </c>
      <c r="BS25" s="44">
        <v>14.526407723984933</v>
      </c>
      <c r="BT25" s="44">
        <v>14.7</v>
      </c>
      <c r="BU25" s="44">
        <v>14.74724268906575</v>
      </c>
      <c r="BV25" s="44">
        <v>13.1583686771051</v>
      </c>
      <c r="BW25" s="44">
        <v>13.220515835663795</v>
      </c>
      <c r="BX25" s="44">
        <v>13.281870497051935</v>
      </c>
      <c r="BY25" s="44">
        <v>14.19522569523917</v>
      </c>
      <c r="BZ25" s="44">
        <v>13.625473322799268</v>
      </c>
      <c r="CA25" s="44">
        <v>13.713609977562569</v>
      </c>
      <c r="CB25" s="44">
        <v>13.293138862587913</v>
      </c>
      <c r="CC25" s="44">
        <v>13.243881127695971</v>
      </c>
      <c r="CD25" s="44">
        <v>13.442416092867759</v>
      </c>
      <c r="CE25" s="44">
        <v>13.575424627270646</v>
      </c>
      <c r="CF25" s="44">
        <v>13.669559233529778</v>
      </c>
      <c r="CG25" s="44">
        <v>13.873293754523912</v>
      </c>
      <c r="CH25" s="44">
        <v>13.909050317409928</v>
      </c>
      <c r="CI25" s="44">
        <v>13.655074808668367</v>
      </c>
      <c r="CJ25" s="44">
        <v>13.71591717381907</v>
      </c>
      <c r="CK25" s="44">
        <v>14.299858908692411</v>
      </c>
      <c r="CL25" s="44">
        <v>13.770591771435862</v>
      </c>
      <c r="CM25" s="44">
        <v>13.717060870917383</v>
      </c>
      <c r="CN25" s="44">
        <v>13.689354925708702</v>
      </c>
      <c r="CO25" s="44">
        <v>13.559186200909711</v>
      </c>
      <c r="CP25" s="44">
        <v>13.797554014996875</v>
      </c>
      <c r="CQ25" s="44">
        <v>12.617930141551577</v>
      </c>
      <c r="CR25" s="44">
        <v>12.557573112377909</v>
      </c>
      <c r="CS25" s="44">
        <v>12.461134274591013</v>
      </c>
      <c r="CT25" s="44">
        <v>12.36834602387764</v>
      </c>
      <c r="CU25" s="44">
        <v>12.387015383805823</v>
      </c>
      <c r="CV25" s="44">
        <v>12.806142071544352</v>
      </c>
      <c r="CW25" s="44">
        <v>13.219944520354893</v>
      </c>
      <c r="CX25" s="44">
        <v>12.751200577664234</v>
      </c>
      <c r="CY25" s="44">
        <v>12.545120529881425</v>
      </c>
      <c r="CZ25" s="44">
        <v>12.449588766715825</v>
      </c>
      <c r="DA25" s="44">
        <v>12.387420654123485</v>
      </c>
      <c r="DB25" s="44">
        <v>11.029929883108878</v>
      </c>
      <c r="DC25" s="44">
        <v>11.182168281123124</v>
      </c>
      <c r="DD25" s="44">
        <v>10.976854373859032</v>
      </c>
      <c r="DE25" s="44">
        <v>10.890746158590751</v>
      </c>
      <c r="DF25" s="44">
        <v>10.908825412430485</v>
      </c>
      <c r="DG25" s="44">
        <v>10.977108131943794</v>
      </c>
      <c r="DH25" s="44">
        <v>10.8855536685501</v>
      </c>
      <c r="DI25" s="44">
        <v>10.756032484390227</v>
      </c>
      <c r="DJ25" s="44">
        <v>10.517717271272936</v>
      </c>
      <c r="DK25" s="44">
        <v>10.690508499712196</v>
      </c>
      <c r="DL25" s="44">
        <v>10.97041807854737</v>
      </c>
      <c r="DM25" s="44">
        <v>10.797428094594808</v>
      </c>
      <c r="DN25" s="44">
        <v>9.9348990290027341</v>
      </c>
      <c r="DO25" s="44">
        <v>10.529595945802718</v>
      </c>
      <c r="DP25" s="44">
        <v>10.544223195367254</v>
      </c>
      <c r="DQ25" s="44">
        <v>10.121651216898551</v>
      </c>
      <c r="DR25" s="44">
        <v>9.9014581106577602</v>
      </c>
      <c r="DS25" s="44">
        <v>9.9017829635035906</v>
      </c>
      <c r="DT25" s="44">
        <v>9.7000528171527485</v>
      </c>
      <c r="DU25" s="44">
        <v>9.1792493575743954</v>
      </c>
      <c r="DV25" s="44">
        <v>9.2200000000000006</v>
      </c>
      <c r="DW25" s="44">
        <v>8.8878508561252776</v>
      </c>
      <c r="DX25" s="44">
        <v>8.8364529513425545</v>
      </c>
      <c r="DY25" s="44">
        <v>9.2774409616901323</v>
      </c>
      <c r="DZ25" s="44">
        <v>8.8012154684053368</v>
      </c>
      <c r="EA25" s="44">
        <v>8.8072129963577659</v>
      </c>
      <c r="EB25" s="44">
        <v>8.8282959794606608</v>
      </c>
      <c r="EC25" s="44">
        <v>9.230668966356891</v>
      </c>
      <c r="ED25" s="44">
        <v>8.9188077462818089</v>
      </c>
      <c r="EE25" s="44">
        <v>9.0516276903695676</v>
      </c>
      <c r="EF25" s="44">
        <v>9.9869580796748796</v>
      </c>
      <c r="EG25" s="44">
        <v>8.7801546056214388</v>
      </c>
      <c r="EH25" s="44">
        <v>8.7842666290604914</v>
      </c>
      <c r="EI25" s="44">
        <v>8.8644026095323891</v>
      </c>
      <c r="EJ25" s="44">
        <v>8.3051566014637146</v>
      </c>
      <c r="EK25" s="44">
        <v>7.6796442782466041</v>
      </c>
      <c r="EL25" s="44">
        <v>5.7335590509677852</v>
      </c>
      <c r="EM25" s="44">
        <v>5.5018113538743751</v>
      </c>
      <c r="EN25" s="44">
        <v>6.2529041776221428</v>
      </c>
      <c r="EO25" s="44">
        <v>6.1653989003632459</v>
      </c>
      <c r="EP25" s="44">
        <v>6.0817018275724379</v>
      </c>
      <c r="EQ25" s="44">
        <v>5.7399764262067547</v>
      </c>
      <c r="ER25" s="44">
        <v>5.7149061364184366</v>
      </c>
      <c r="ES25" s="44">
        <v>5.5875144346596475</v>
      </c>
      <c r="ET25" s="44">
        <v>5.7020999000616825</v>
      </c>
      <c r="EU25" s="44">
        <v>5.6350777572401674</v>
      </c>
      <c r="EV25" s="44">
        <v>5.5967851604495484</v>
      </c>
      <c r="EW25" s="44">
        <v>5.4851843921049994</v>
      </c>
      <c r="EX25" s="44">
        <v>5.9228722110585341</v>
      </c>
      <c r="EY25" s="44">
        <v>6.8856347451401181</v>
      </c>
      <c r="EZ25" s="44">
        <v>6.8642539695841789</v>
      </c>
      <c r="FA25" s="44">
        <v>7.5143185130459393</v>
      </c>
      <c r="FB25" s="44">
        <v>7.2044706309116284</v>
      </c>
      <c r="FC25" s="44">
        <v>7.2339014326291764</v>
      </c>
      <c r="FD25" s="44">
        <v>7.1497860162492168</v>
      </c>
      <c r="FE25" s="47">
        <v>6.8437511902362536</v>
      </c>
      <c r="FF25" s="47">
        <v>6.790075566910529</v>
      </c>
      <c r="FG25" s="47">
        <v>6.9753024155147001</v>
      </c>
      <c r="FH25" s="47">
        <v>6.9642390626804511</v>
      </c>
      <c r="FI25" s="47">
        <v>6.9521558826244032</v>
      </c>
      <c r="FJ25" s="47">
        <v>6.9117289886880986</v>
      </c>
      <c r="FK25" s="47">
        <v>6.8762912841410948</v>
      </c>
      <c r="FL25" s="47">
        <v>6.8359763804302611</v>
      </c>
      <c r="FM25" s="47">
        <v>6.7768643954931731</v>
      </c>
      <c r="FN25" s="47">
        <v>6.381837193477585</v>
      </c>
      <c r="FO25" s="47">
        <v>6.3417512109647358</v>
      </c>
      <c r="FP25" s="47">
        <v>6.2973890224500284</v>
      </c>
      <c r="FQ25" s="47">
        <v>6.1277690126746851</v>
      </c>
      <c r="FR25" s="47">
        <v>5.9491464852687015</v>
      </c>
      <c r="FS25" s="47">
        <v>5.9669116913154721</v>
      </c>
      <c r="FT25" s="48">
        <v>5.8853094913895685</v>
      </c>
      <c r="FU25" s="48">
        <v>5.782846311396888</v>
      </c>
      <c r="FV25" s="48">
        <v>5.7546665176151608</v>
      </c>
      <c r="FW25" s="48">
        <v>5.7266187952116496</v>
      </c>
      <c r="FX25" s="48">
        <v>5.661030338540864</v>
      </c>
      <c r="FY25" s="48">
        <v>5.5796039221686415</v>
      </c>
      <c r="FZ25" s="48">
        <v>5.5131307283886546</v>
      </c>
      <c r="GA25" s="48">
        <v>5.5432876483243021</v>
      </c>
      <c r="GB25" s="48">
        <v>5.3774810453789321</v>
      </c>
      <c r="GC25" s="48">
        <v>5.3333844781581057</v>
      </c>
      <c r="GD25" s="48">
        <v>5.3290148108412696</v>
      </c>
      <c r="GE25" s="48">
        <v>5.3023283346250425</v>
      </c>
      <c r="GF25" s="48">
        <v>5.3163293166971544</v>
      </c>
      <c r="GG25" s="48">
        <v>5.161871427287366</v>
      </c>
      <c r="GH25" s="48">
        <v>5.0858237476161499</v>
      </c>
      <c r="GI25" s="48">
        <v>5.0754600601055699</v>
      </c>
      <c r="GJ25" s="48">
        <v>5.0686144107919198</v>
      </c>
      <c r="GK25" s="48">
        <v>5.0796982603198204</v>
      </c>
      <c r="GL25" s="48">
        <v>5.0462430237279499</v>
      </c>
      <c r="GM25" s="48">
        <v>5.0149979343178703</v>
      </c>
      <c r="GN25" s="48">
        <v>5.0049955864506002</v>
      </c>
      <c r="GO25" s="48">
        <v>4.9757066021814698</v>
      </c>
      <c r="GP25" s="48">
        <v>4.9710957381636698</v>
      </c>
      <c r="GQ25" s="48">
        <v>4.9710957381636698</v>
      </c>
      <c r="GR25" s="48">
        <v>4.9318088350859197</v>
      </c>
      <c r="GS25" s="48">
        <v>4.9193360989931803</v>
      </c>
      <c r="GT25" s="48">
        <v>4.8386487348920797</v>
      </c>
      <c r="GU25" s="48">
        <v>4.79927445575417</v>
      </c>
      <c r="GV25" s="48">
        <v>4.8504142219126196</v>
      </c>
      <c r="GW25" s="48">
        <v>5.0004788466336896</v>
      </c>
      <c r="GX25" s="48">
        <v>4.7882276015756302</v>
      </c>
      <c r="GY25" s="48">
        <v>4.8463136391413002</v>
      </c>
      <c r="GZ25" s="48">
        <v>4.9051432553459096</v>
      </c>
      <c r="HA25" s="48">
        <v>4.8327960081826298</v>
      </c>
      <c r="HB25" s="48">
        <v>4.7113708624274597</v>
      </c>
      <c r="HC25" s="48">
        <v>4.7138502380871303</v>
      </c>
      <c r="HD25" s="48">
        <v>4.7020341082574397</v>
      </c>
      <c r="HE25" s="48">
        <v>4.6865988615353098</v>
      </c>
      <c r="HF25" s="48">
        <v>4.6769419818690601</v>
      </c>
      <c r="HG25" s="48">
        <v>4.6522379746111602</v>
      </c>
      <c r="HH25" s="48">
        <v>4.7072000151636804</v>
      </c>
      <c r="HI25" s="48">
        <v>4.7068263824737002</v>
      </c>
      <c r="HJ25" s="48">
        <v>4.7033821371259199</v>
      </c>
      <c r="HK25" s="48">
        <v>4.7391055114900098</v>
      </c>
      <c r="HL25" s="48">
        <v>4.7757951677927801</v>
      </c>
      <c r="HM25" s="48">
        <v>4.7210473163821698</v>
      </c>
      <c r="HN25" s="48">
        <v>4.7837222111535898</v>
      </c>
      <c r="HO25" s="48">
        <v>4.7686074589802496</v>
      </c>
      <c r="HP25" s="48">
        <v>4.7632793450169304</v>
      </c>
      <c r="HQ25" s="48">
        <v>4.7367035262356696</v>
      </c>
      <c r="HR25" s="48">
        <v>4.7299248739329096</v>
      </c>
      <c r="HS25" s="48">
        <v>4.8471896864227402</v>
      </c>
      <c r="HT25" s="48">
        <v>4.9479980502655296</v>
      </c>
      <c r="HU25" s="48">
        <v>4.9750693274405702</v>
      </c>
      <c r="HV25" s="48">
        <v>4.97086852114575</v>
      </c>
      <c r="HW25" s="48">
        <v>5.0519623067959998</v>
      </c>
      <c r="HX25" s="48">
        <v>5.1578736422983198</v>
      </c>
      <c r="HY25" s="48">
        <v>5.1903981372998702</v>
      </c>
      <c r="HZ25" s="48">
        <v>5.1563672150768296</v>
      </c>
      <c r="IA25" s="48">
        <v>5.3454430706028697</v>
      </c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</row>
    <row r="26" spans="1:451">
      <c r="A26" s="20" t="s">
        <v>282</v>
      </c>
      <c r="B26" s="33" t="s">
        <v>221</v>
      </c>
      <c r="C26" s="20" t="s">
        <v>282</v>
      </c>
      <c r="D26" s="43">
        <v>22.24</v>
      </c>
      <c r="E26" s="44">
        <v>22.89</v>
      </c>
      <c r="F26" s="44">
        <v>22.6</v>
      </c>
      <c r="G26" s="44">
        <v>21.87</v>
      </c>
      <c r="H26" s="44">
        <v>21.86</v>
      </c>
      <c r="I26" s="44">
        <v>21.96</v>
      </c>
      <c r="J26" s="44">
        <v>21.75</v>
      </c>
      <c r="K26" s="44">
        <v>21.75</v>
      </c>
      <c r="L26" s="44">
        <v>21.56</v>
      </c>
      <c r="M26" s="44">
        <v>21.49</v>
      </c>
      <c r="N26" s="44">
        <v>21.223970574414952</v>
      </c>
      <c r="O26" s="44">
        <v>20.979110790571859</v>
      </c>
      <c r="P26" s="44">
        <v>21.186121510474702</v>
      </c>
      <c r="Q26" s="44">
        <v>21.305548802787708</v>
      </c>
      <c r="R26" s="44">
        <v>20.898533558302848</v>
      </c>
      <c r="S26" s="44">
        <v>21.857088071315836</v>
      </c>
      <c r="T26" s="44">
        <v>21.739713816162308</v>
      </c>
      <c r="U26" s="44">
        <v>21.74172746739119</v>
      </c>
      <c r="V26" s="44">
        <v>21.64</v>
      </c>
      <c r="W26" s="44">
        <v>21.730896741302701</v>
      </c>
      <c r="X26" s="44">
        <v>21.693348245793015</v>
      </c>
      <c r="Y26" s="44">
        <v>21.55685497155304</v>
      </c>
      <c r="Z26" s="44">
        <v>21.671710246132637</v>
      </c>
      <c r="AA26" s="44">
        <v>21.289146719046311</v>
      </c>
      <c r="AB26" s="44">
        <v>21.401173283283384</v>
      </c>
      <c r="AC26" s="44">
        <v>21.818686142101775</v>
      </c>
      <c r="AD26" s="44">
        <v>21.07</v>
      </c>
      <c r="AE26" s="44">
        <v>21.66</v>
      </c>
      <c r="AF26" s="44">
        <v>21.84</v>
      </c>
      <c r="AG26" s="44">
        <v>22.02</v>
      </c>
      <c r="AH26" s="44">
        <v>21.923498459580696</v>
      </c>
      <c r="AI26" s="44">
        <v>21.940274592463748</v>
      </c>
      <c r="AJ26" s="44">
        <v>21.503544108001712</v>
      </c>
      <c r="AK26" s="44">
        <v>21.660173655985304</v>
      </c>
      <c r="AL26" s="44">
        <v>21.775945522048922</v>
      </c>
      <c r="AM26" s="44">
        <v>21.973006711588827</v>
      </c>
      <c r="AN26" s="44">
        <v>21.616415201082631</v>
      </c>
      <c r="AO26" s="44">
        <v>21.69727168150602</v>
      </c>
      <c r="AP26" s="44">
        <v>21.222651679662473</v>
      </c>
      <c r="AQ26" s="44">
        <v>21.305534822520965</v>
      </c>
      <c r="AR26" s="44">
        <v>21.061065913080309</v>
      </c>
      <c r="AS26" s="44">
        <v>20.88672910706714</v>
      </c>
      <c r="AT26" s="44">
        <v>20.614822049260397</v>
      </c>
      <c r="AU26" s="44">
        <v>21.048598699870862</v>
      </c>
      <c r="AV26" s="44">
        <v>21.38</v>
      </c>
      <c r="AW26" s="44">
        <v>21.402859071259268</v>
      </c>
      <c r="AX26" s="44">
        <v>21.500656709120733</v>
      </c>
      <c r="AY26" s="44">
        <v>21.41105521337624</v>
      </c>
      <c r="AZ26" s="44">
        <v>21.342882294538125</v>
      </c>
      <c r="BA26" s="44">
        <v>21.519509712669223</v>
      </c>
      <c r="BB26" s="44">
        <v>21.692738641797693</v>
      </c>
      <c r="BC26" s="44">
        <v>20.325900752077075</v>
      </c>
      <c r="BD26" s="44">
        <v>22.262765427734863</v>
      </c>
      <c r="BE26" s="44">
        <v>20.27367629481834</v>
      </c>
      <c r="BF26" s="44">
        <v>23.170339934500419</v>
      </c>
      <c r="BG26" s="44">
        <v>22.672918645058118</v>
      </c>
      <c r="BH26" s="44">
        <v>22.194524269189404</v>
      </c>
      <c r="BI26" s="44">
        <v>21.760760867724894</v>
      </c>
      <c r="BJ26" s="44">
        <v>22.246313360511905</v>
      </c>
      <c r="BK26" s="44">
        <v>23.928779196304248</v>
      </c>
      <c r="BL26" s="44">
        <v>23.237093303191561</v>
      </c>
      <c r="BM26" s="44">
        <v>23.272646085084713</v>
      </c>
      <c r="BN26" s="44">
        <v>22.55799545239605</v>
      </c>
      <c r="BO26" s="44">
        <v>23.318100566312907</v>
      </c>
      <c r="BP26" s="44">
        <v>22.088107888738843</v>
      </c>
      <c r="BQ26" s="44">
        <v>22.210377485556926</v>
      </c>
      <c r="BR26" s="44">
        <v>23.094587587595839</v>
      </c>
      <c r="BS26" s="44">
        <v>23.174738616844209</v>
      </c>
      <c r="BT26" s="44">
        <v>23.26</v>
      </c>
      <c r="BU26" s="44">
        <v>22.930187692726474</v>
      </c>
      <c r="BV26" s="44">
        <v>23.007967648158019</v>
      </c>
      <c r="BW26" s="44">
        <v>22.918479781719849</v>
      </c>
      <c r="BX26" s="44">
        <v>22.835411946898336</v>
      </c>
      <c r="BY26" s="44">
        <v>23.729516967687971</v>
      </c>
      <c r="BZ26" s="44">
        <v>23.873971578415425</v>
      </c>
      <c r="CA26" s="44">
        <v>23.798573753187348</v>
      </c>
      <c r="CB26" s="44">
        <v>23.420458613972517</v>
      </c>
      <c r="CC26" s="44">
        <v>23.904394540053062</v>
      </c>
      <c r="CD26" s="44">
        <v>23.773637687769241</v>
      </c>
      <c r="CE26" s="44">
        <v>23.543416925816441</v>
      </c>
      <c r="CF26" s="44">
        <v>23.08688615551436</v>
      </c>
      <c r="CG26" s="44">
        <v>23.013821509723766</v>
      </c>
      <c r="CH26" s="44">
        <v>22.615941975585145</v>
      </c>
      <c r="CI26" s="44">
        <v>23.017106896889313</v>
      </c>
      <c r="CJ26" s="44">
        <v>22.982775640179852</v>
      </c>
      <c r="CK26" s="44">
        <v>22.903222770539312</v>
      </c>
      <c r="CL26" s="44">
        <v>22.887602229442077</v>
      </c>
      <c r="CM26" s="44">
        <v>23.009410935611751</v>
      </c>
      <c r="CN26" s="44">
        <v>22.073429454485076</v>
      </c>
      <c r="CO26" s="44">
        <v>21.981610637715569</v>
      </c>
      <c r="CP26" s="44">
        <v>22.146823179323018</v>
      </c>
      <c r="CQ26" s="44">
        <v>21.938581189858681</v>
      </c>
      <c r="CR26" s="44">
        <v>22.111495421301981</v>
      </c>
      <c r="CS26" s="44">
        <v>22.311992927509682</v>
      </c>
      <c r="CT26" s="44">
        <v>22.422363944312877</v>
      </c>
      <c r="CU26" s="44">
        <v>21.923510285709572</v>
      </c>
      <c r="CV26" s="44">
        <v>21.834710343278726</v>
      </c>
      <c r="CW26" s="44">
        <v>22.06348592484731</v>
      </c>
      <c r="CX26" s="44">
        <v>21.867947396832022</v>
      </c>
      <c r="CY26" s="44">
        <v>21.887330419534269</v>
      </c>
      <c r="CZ26" s="44">
        <v>21.600032109057814</v>
      </c>
      <c r="DA26" s="44">
        <v>21.632075571214521</v>
      </c>
      <c r="DB26" s="44">
        <v>21.44086858422444</v>
      </c>
      <c r="DC26" s="44">
        <v>21.472386915084577</v>
      </c>
      <c r="DD26" s="44">
        <v>21.862500884209283</v>
      </c>
      <c r="DE26" s="44">
        <v>21.202005847119715</v>
      </c>
      <c r="DF26" s="44">
        <v>20.716576866631421</v>
      </c>
      <c r="DG26" s="44">
        <v>20.700189335045774</v>
      </c>
      <c r="DH26" s="44">
        <v>20.753530805034259</v>
      </c>
      <c r="DI26" s="44">
        <v>20.735615193089128</v>
      </c>
      <c r="DJ26" s="44">
        <v>20.824614165833861</v>
      </c>
      <c r="DK26" s="44">
        <v>20.375727911585905</v>
      </c>
      <c r="DL26" s="44">
        <v>20.830846303725892</v>
      </c>
      <c r="DM26" s="44">
        <v>20.641026421373613</v>
      </c>
      <c r="DN26" s="44">
        <v>21.365067812112539</v>
      </c>
      <c r="DO26" s="44">
        <v>21.425932744378688</v>
      </c>
      <c r="DP26" s="44">
        <v>21.330807336187014</v>
      </c>
      <c r="DQ26" s="44">
        <v>21.095034969738588</v>
      </c>
      <c r="DR26" s="44">
        <v>21.319305561799339</v>
      </c>
      <c r="DS26" s="44">
        <v>21.359658459438453</v>
      </c>
      <c r="DT26" s="44">
        <v>21.966311704375912</v>
      </c>
      <c r="DU26" s="44">
        <v>21.524596558397572</v>
      </c>
      <c r="DV26" s="44">
        <v>22.27</v>
      </c>
      <c r="DW26" s="44">
        <v>21.751160026932023</v>
      </c>
      <c r="DX26" s="44">
        <v>21.416237388685101</v>
      </c>
      <c r="DY26" s="44">
        <v>21.056388586808961</v>
      </c>
      <c r="DZ26" s="44">
        <v>20.955798164179072</v>
      </c>
      <c r="EA26" s="44">
        <v>20.576854403053847</v>
      </c>
      <c r="EB26" s="44">
        <v>21.45942657938647</v>
      </c>
      <c r="EC26" s="44">
        <v>21.83138630859608</v>
      </c>
      <c r="ED26" s="44">
        <v>21.73106530597196</v>
      </c>
      <c r="EE26" s="44">
        <v>21.446745366764162</v>
      </c>
      <c r="EF26" s="44">
        <v>21.260997120234773</v>
      </c>
      <c r="EG26" s="44">
        <v>20.723113622101469</v>
      </c>
      <c r="EH26" s="44">
        <v>20.64516489235368</v>
      </c>
      <c r="EI26" s="44">
        <v>20.188096794752351</v>
      </c>
      <c r="EJ26" s="44">
        <v>18.913439441546412</v>
      </c>
      <c r="EK26" s="44">
        <v>19.329259855541103</v>
      </c>
      <c r="EL26" s="44">
        <v>19.304942726601233</v>
      </c>
      <c r="EM26" s="44">
        <v>19.071750154214435</v>
      </c>
      <c r="EN26" s="44">
        <v>18.771337108861051</v>
      </c>
      <c r="EO26" s="44">
        <v>18.649560677927763</v>
      </c>
      <c r="EP26" s="44">
        <v>18.588515633000057</v>
      </c>
      <c r="EQ26" s="44">
        <v>18.452799920946447</v>
      </c>
      <c r="ER26" s="44">
        <v>17.302419362597636</v>
      </c>
      <c r="ES26" s="44">
        <v>16.041203929542881</v>
      </c>
      <c r="ET26" s="44">
        <v>16.951698717145515</v>
      </c>
      <c r="EU26" s="44">
        <v>16.853316550041551</v>
      </c>
      <c r="EV26" s="44">
        <v>16.722919864976635</v>
      </c>
      <c r="EW26" s="44">
        <v>16.395867691595136</v>
      </c>
      <c r="EX26" s="44">
        <v>16.081436107261258</v>
      </c>
      <c r="EY26" s="44">
        <v>15.97380345748032</v>
      </c>
      <c r="EZ26" s="44">
        <v>16.214333787100376</v>
      </c>
      <c r="FA26" s="44">
        <v>16.251619023383604</v>
      </c>
      <c r="FB26" s="44">
        <v>16.160415427628763</v>
      </c>
      <c r="FC26" s="44">
        <v>17.343706674588208</v>
      </c>
      <c r="FD26" s="44">
        <v>17.219761073525685</v>
      </c>
      <c r="FE26" s="47">
        <v>16.470998707390702</v>
      </c>
      <c r="FF26" s="47">
        <v>16.278573445313103</v>
      </c>
      <c r="FG26" s="47">
        <v>16.177609376920756</v>
      </c>
      <c r="FH26" s="47">
        <v>15.858318349012702</v>
      </c>
      <c r="FI26" s="47">
        <v>15.925236939339305</v>
      </c>
      <c r="FJ26" s="47">
        <v>15.606046545405029</v>
      </c>
      <c r="FK26" s="47">
        <v>15.70277630608598</v>
      </c>
      <c r="FL26" s="47">
        <v>15.156565172212428</v>
      </c>
      <c r="FM26" s="47">
        <v>15.93094803483392</v>
      </c>
      <c r="FN26" s="47">
        <v>15.744548480271281</v>
      </c>
      <c r="FO26" s="47">
        <v>15.336960157804192</v>
      </c>
      <c r="FP26" s="47">
        <v>15.206783024248244</v>
      </c>
      <c r="FQ26" s="47">
        <v>14.669748357856003</v>
      </c>
      <c r="FR26" s="47">
        <v>14.548924679412478</v>
      </c>
      <c r="FS26" s="47">
        <v>14.41130690246608</v>
      </c>
      <c r="FT26" s="47">
        <v>14.404990274907103</v>
      </c>
      <c r="FU26" s="48">
        <v>13.470242725760778</v>
      </c>
      <c r="FV26" s="48">
        <v>13.15276970421562</v>
      </c>
      <c r="FW26" s="48">
        <v>12.43811451510561</v>
      </c>
      <c r="FX26" s="48">
        <v>11.712869748830178</v>
      </c>
      <c r="FY26" s="48">
        <v>11.905127932278123</v>
      </c>
      <c r="FZ26" s="48">
        <v>11.356001918868877</v>
      </c>
      <c r="GA26" s="48">
        <v>11.613422992777952</v>
      </c>
      <c r="GB26" s="48">
        <v>8.8699643925975682</v>
      </c>
      <c r="GC26" s="48">
        <v>8.0059051316120069</v>
      </c>
      <c r="GD26" s="48">
        <v>7.9803764769598891</v>
      </c>
      <c r="GE26" s="48">
        <v>7.8952526166365518</v>
      </c>
      <c r="GF26" s="48">
        <v>9.052783668151978</v>
      </c>
      <c r="GG26" s="48">
        <v>8.9640348696907637</v>
      </c>
      <c r="GH26" s="48">
        <v>8.4246178984700499</v>
      </c>
      <c r="GI26" s="48">
        <v>8.3139268551798793</v>
      </c>
      <c r="GJ26" s="48">
        <v>8.18575651999776</v>
      </c>
      <c r="GK26" s="48">
        <v>8.1298455856521894</v>
      </c>
      <c r="GL26" s="48">
        <v>8.0186755399721097</v>
      </c>
      <c r="GM26" s="48">
        <v>7.4059049663367702</v>
      </c>
      <c r="GN26" s="48">
        <v>6.9532698618323803</v>
      </c>
      <c r="GO26" s="48">
        <v>6.5253193855142797</v>
      </c>
      <c r="GP26" s="48">
        <v>6.2194043508468404</v>
      </c>
      <c r="GQ26" s="48">
        <v>6.2194043508468404</v>
      </c>
      <c r="GR26" s="48">
        <v>6.6728249736438796</v>
      </c>
      <c r="GS26" s="48">
        <v>6.2675426952799098</v>
      </c>
      <c r="GT26" s="48">
        <v>6.1588921765931399</v>
      </c>
      <c r="GU26" s="48">
        <v>6.0808441200455201</v>
      </c>
      <c r="GV26" s="48">
        <v>5.98431379317124</v>
      </c>
      <c r="GW26" s="48">
        <v>6.01205789015766</v>
      </c>
      <c r="GX26" s="48">
        <v>5.8538414142213098</v>
      </c>
      <c r="GY26" s="48">
        <v>5.8040346659615896</v>
      </c>
      <c r="GZ26" s="48">
        <v>6.0712259140291902</v>
      </c>
      <c r="HA26" s="48">
        <v>6.2114360538357598</v>
      </c>
      <c r="HB26" s="48">
        <v>5.4539096501419797</v>
      </c>
      <c r="HC26" s="48">
        <v>5.4371068206894098</v>
      </c>
      <c r="HD26" s="48">
        <v>5.37222524367853</v>
      </c>
      <c r="HE26" s="48">
        <v>5.2313451325033</v>
      </c>
      <c r="HF26" s="48">
        <v>5.3178428384465501</v>
      </c>
      <c r="HG26" s="48">
        <v>5.2763936356370698</v>
      </c>
      <c r="HH26" s="48">
        <v>5.3026066696144101</v>
      </c>
      <c r="HI26" s="48">
        <v>5.1591373948855699</v>
      </c>
      <c r="HJ26" s="48">
        <v>5.2856603189976097</v>
      </c>
      <c r="HK26" s="48">
        <v>5.0645881244070701</v>
      </c>
      <c r="HL26" s="48">
        <v>4.9827150895007204</v>
      </c>
      <c r="HM26" s="48">
        <v>5.0066389348155003</v>
      </c>
      <c r="HN26" s="48">
        <v>5.2628200808764696</v>
      </c>
      <c r="HO26" s="48">
        <v>5.1304377629341902</v>
      </c>
      <c r="HP26" s="48">
        <v>5.1272351281749096</v>
      </c>
      <c r="HQ26" s="48">
        <v>5.0437186951887902</v>
      </c>
      <c r="HR26" s="48">
        <v>5.0253134920377898</v>
      </c>
      <c r="HS26" s="48">
        <v>5.0306433812411102</v>
      </c>
      <c r="HT26" s="48">
        <v>5.0673913084106497</v>
      </c>
      <c r="HU26" s="48">
        <v>5.3010017930095996</v>
      </c>
      <c r="HV26" s="48">
        <v>5.27827778695376</v>
      </c>
      <c r="HW26" s="48">
        <v>5.1707524671192697</v>
      </c>
      <c r="HX26" s="48">
        <v>4.78412381512869</v>
      </c>
      <c r="HY26" s="48">
        <v>4.7594566854868496</v>
      </c>
      <c r="HZ26" s="48">
        <v>4.6697439170766897</v>
      </c>
      <c r="IA26" s="48">
        <v>4.6638819740353998</v>
      </c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</row>
    <row r="27" spans="1:451">
      <c r="A27" s="12" t="s">
        <v>283</v>
      </c>
      <c r="B27" s="33" t="s">
        <v>222</v>
      </c>
      <c r="C27" s="12" t="s">
        <v>283</v>
      </c>
      <c r="D27" s="43">
        <v>17.89</v>
      </c>
      <c r="E27" s="44">
        <v>17.54</v>
      </c>
      <c r="F27" s="44">
        <v>17.989999999999998</v>
      </c>
      <c r="G27" s="44">
        <v>17.86</v>
      </c>
      <c r="H27" s="44">
        <v>17.760000000000002</v>
      </c>
      <c r="I27" s="44">
        <v>17.96</v>
      </c>
      <c r="J27" s="44">
        <v>18.010000000000002</v>
      </c>
      <c r="K27" s="44">
        <v>17.850000000000001</v>
      </c>
      <c r="L27" s="44">
        <v>18.079999999999998</v>
      </c>
      <c r="M27" s="44">
        <v>17.77</v>
      </c>
      <c r="N27" s="44">
        <v>17.619806313510065</v>
      </c>
      <c r="O27" s="44">
        <v>17.895303257201149</v>
      </c>
      <c r="P27" s="44">
        <v>18.306354510633316</v>
      </c>
      <c r="Q27" s="44">
        <v>17.711492648976407</v>
      </c>
      <c r="R27" s="44">
        <v>18.489503442249326</v>
      </c>
      <c r="S27" s="44">
        <v>18.16483951316162</v>
      </c>
      <c r="T27" s="44">
        <v>18.560351011826963</v>
      </c>
      <c r="U27" s="44">
        <v>18.040060068285172</v>
      </c>
      <c r="V27" s="44">
        <v>18.523294012400608</v>
      </c>
      <c r="W27" s="44">
        <v>17.252186710477925</v>
      </c>
      <c r="X27" s="44">
        <v>17.12211573083485</v>
      </c>
      <c r="Y27" s="44">
        <v>17.159867361176254</v>
      </c>
      <c r="Z27" s="44">
        <v>17.259608904932033</v>
      </c>
      <c r="AA27" s="44">
        <v>17.041052280039128</v>
      </c>
      <c r="AB27" s="44">
        <v>17.43889349710253</v>
      </c>
      <c r="AC27" s="44">
        <v>16.980587235919582</v>
      </c>
      <c r="AD27" s="44">
        <v>16.13759302747928</v>
      </c>
      <c r="AE27" s="44">
        <v>16.31780309308218</v>
      </c>
      <c r="AF27" s="44">
        <v>16.393949539511148</v>
      </c>
      <c r="AG27" s="44">
        <v>17.345026754570124</v>
      </c>
      <c r="AH27" s="44">
        <v>17.200473758923202</v>
      </c>
      <c r="AI27" s="44">
        <v>17.555429548004714</v>
      </c>
      <c r="AJ27" s="44">
        <v>17.204760647932936</v>
      </c>
      <c r="AK27" s="44">
        <v>17.238015934491994</v>
      </c>
      <c r="AL27" s="44">
        <v>16.062116148304916</v>
      </c>
      <c r="AM27" s="44">
        <v>18.400842281387604</v>
      </c>
      <c r="AN27" s="44">
        <v>17.068274827219092</v>
      </c>
      <c r="AO27" s="44">
        <v>16.981636114825278</v>
      </c>
      <c r="AP27" s="44">
        <v>18.00470797635462</v>
      </c>
      <c r="AQ27" s="44">
        <v>18.252651197934718</v>
      </c>
      <c r="AR27" s="44">
        <v>17.274152915970792</v>
      </c>
      <c r="AS27" s="44">
        <v>16.872237423798765</v>
      </c>
      <c r="AT27" s="44">
        <v>16.154409315863813</v>
      </c>
      <c r="AU27" s="44">
        <v>16.54758450707806</v>
      </c>
      <c r="AV27" s="44">
        <v>15.880786946569149</v>
      </c>
      <c r="AW27" s="44">
        <v>17.4138458324264</v>
      </c>
      <c r="AX27" s="44">
        <v>16.184427037986044</v>
      </c>
      <c r="AY27" s="44">
        <v>17.044925747184227</v>
      </c>
      <c r="AZ27" s="44">
        <v>16.307092199404536</v>
      </c>
      <c r="BA27" s="44">
        <v>16.532118093073837</v>
      </c>
      <c r="BB27" s="44">
        <v>16.16</v>
      </c>
      <c r="BC27" s="44">
        <v>16.116400583541186</v>
      </c>
      <c r="BD27" s="44">
        <v>18.174589746557672</v>
      </c>
      <c r="BE27" s="44">
        <v>17.042465716771485</v>
      </c>
      <c r="BF27" s="44">
        <v>17.71841880912881</v>
      </c>
      <c r="BG27" s="44">
        <v>17.78040717935643</v>
      </c>
      <c r="BH27" s="44">
        <v>18.117752961935061</v>
      </c>
      <c r="BI27" s="44">
        <v>18.092380536976151</v>
      </c>
      <c r="BJ27" s="44">
        <v>18.778511818595252</v>
      </c>
      <c r="BK27" s="44">
        <v>18.285930462707089</v>
      </c>
      <c r="BL27" s="44">
        <v>17.905994409992061</v>
      </c>
      <c r="BM27" s="44">
        <v>17.883738472922651</v>
      </c>
      <c r="BN27" s="44">
        <v>18.612152290964882</v>
      </c>
      <c r="BO27" s="44">
        <v>17.44582977271104</v>
      </c>
      <c r="BP27" s="44">
        <v>17.495085985446245</v>
      </c>
      <c r="BQ27" s="44">
        <v>16.657526115344179</v>
      </c>
      <c r="BR27" s="44">
        <v>17.210210609469524</v>
      </c>
      <c r="BS27" s="44">
        <v>17.740313726239282</v>
      </c>
      <c r="BT27" s="44">
        <v>18.353132178489059</v>
      </c>
      <c r="BU27" s="44">
        <v>19.170850729791638</v>
      </c>
      <c r="BV27" s="44">
        <v>17.012366984119417</v>
      </c>
      <c r="BW27" s="44">
        <v>16.998045963889265</v>
      </c>
      <c r="BX27" s="44">
        <v>17.047623310829373</v>
      </c>
      <c r="BY27" s="44">
        <v>23.530770315371367</v>
      </c>
      <c r="BZ27" s="44">
        <v>25.635452054634122</v>
      </c>
      <c r="CA27" s="44">
        <v>25.435401823953246</v>
      </c>
      <c r="CB27" s="44">
        <v>24.984731593682781</v>
      </c>
      <c r="CC27" s="44">
        <v>24.370251530914711</v>
      </c>
      <c r="CD27" s="44">
        <v>24.930347224367488</v>
      </c>
      <c r="CE27" s="44">
        <v>22.541109268572551</v>
      </c>
      <c r="CF27" s="44">
        <v>24.147489290040483</v>
      </c>
      <c r="CG27" s="44">
        <v>23.113221024562055</v>
      </c>
      <c r="CH27" s="44">
        <v>24.027908451142803</v>
      </c>
      <c r="CI27" s="44">
        <v>20.02782918681757</v>
      </c>
      <c r="CJ27" s="44">
        <v>21.60402678745584</v>
      </c>
      <c r="CK27" s="44">
        <v>22.176827799859712</v>
      </c>
      <c r="CL27" s="44">
        <v>19.640633821999899</v>
      </c>
      <c r="CM27" s="44">
        <v>18.946886745620873</v>
      </c>
      <c r="CN27" s="44">
        <v>21.092387276096357</v>
      </c>
      <c r="CO27" s="44">
        <v>18.010628507523382</v>
      </c>
      <c r="CP27" s="44">
        <v>21.882667955370167</v>
      </c>
      <c r="CQ27" s="44">
        <v>14.9860187502993</v>
      </c>
      <c r="CR27" s="44">
        <v>18.254486897995196</v>
      </c>
      <c r="CS27" s="44">
        <v>19.256786502379619</v>
      </c>
      <c r="CT27" s="44">
        <v>18.61173244663367</v>
      </c>
      <c r="CU27" s="44">
        <v>16.96551305858603</v>
      </c>
      <c r="CV27" s="44">
        <v>16.646607858479921</v>
      </c>
      <c r="CW27" s="44">
        <v>16.494362398484537</v>
      </c>
      <c r="CX27" s="44">
        <v>17.888575972622075</v>
      </c>
      <c r="CY27" s="44">
        <v>20.937296555961765</v>
      </c>
      <c r="CZ27" s="44">
        <v>18.887855578685528</v>
      </c>
      <c r="DA27" s="44">
        <v>19.743472286088661</v>
      </c>
      <c r="DB27" s="44">
        <v>17.370000283123034</v>
      </c>
      <c r="DC27" s="44">
        <v>17.673446827574629</v>
      </c>
      <c r="DD27" s="44">
        <v>18.016470622441787</v>
      </c>
      <c r="DE27" s="44">
        <v>19.352412533240841</v>
      </c>
      <c r="DF27" s="44">
        <v>18.311100310196998</v>
      </c>
      <c r="DG27" s="44">
        <v>18.082697030990417</v>
      </c>
      <c r="DH27" s="44">
        <v>14.633206511962591</v>
      </c>
      <c r="DI27" s="44">
        <v>16.689937198864033</v>
      </c>
      <c r="DJ27" s="44">
        <v>17.566959921370561</v>
      </c>
      <c r="DK27" s="44">
        <v>11.614818216436083</v>
      </c>
      <c r="DL27" s="44">
        <v>11.335716125567574</v>
      </c>
      <c r="DM27" s="44">
        <v>11.19666115375119</v>
      </c>
      <c r="DN27" s="44">
        <v>14.951810136578283</v>
      </c>
      <c r="DO27" s="44">
        <v>15.205249883955586</v>
      </c>
      <c r="DP27" s="44">
        <v>15.201097581498567</v>
      </c>
      <c r="DQ27" s="44">
        <v>15.668369907839317</v>
      </c>
      <c r="DR27" s="44">
        <v>15.327869540682686</v>
      </c>
      <c r="DS27" s="44">
        <v>14.64911101565883</v>
      </c>
      <c r="DT27" s="44">
        <v>14.31303035405638</v>
      </c>
      <c r="DU27" s="44">
        <v>14.777589480897545</v>
      </c>
      <c r="DV27" s="44">
        <v>14.2</v>
      </c>
      <c r="DW27" s="44">
        <v>14.024389014650167</v>
      </c>
      <c r="DX27" s="44">
        <v>13.864571842085358</v>
      </c>
      <c r="DY27" s="44">
        <v>13.679957700593757</v>
      </c>
      <c r="DZ27" s="44">
        <v>13.338778397231726</v>
      </c>
      <c r="EA27" s="44">
        <v>13.401840200725704</v>
      </c>
      <c r="EB27" s="44">
        <v>12.969769662146357</v>
      </c>
      <c r="EC27" s="44">
        <v>13.416215371281668</v>
      </c>
      <c r="ED27" s="44">
        <v>12.045635983865246</v>
      </c>
      <c r="EE27" s="44">
        <v>12.879480921542754</v>
      </c>
      <c r="EF27" s="44">
        <v>12.247195097212629</v>
      </c>
      <c r="EG27" s="44">
        <v>12.508118247365942</v>
      </c>
      <c r="EH27" s="44">
        <v>12.266256796076076</v>
      </c>
      <c r="EI27" s="44">
        <v>11.998421342982892</v>
      </c>
      <c r="EJ27" s="44">
        <v>10.482925685461955</v>
      </c>
      <c r="EK27" s="44">
        <v>14.892600009954061</v>
      </c>
      <c r="EL27" s="44">
        <v>4.2891231727497114</v>
      </c>
      <c r="EM27" s="44">
        <v>4.5339029322138726</v>
      </c>
      <c r="EN27" s="44">
        <v>8.7857562810761678</v>
      </c>
      <c r="EO27" s="44">
        <v>7.863806676134085</v>
      </c>
      <c r="EP27" s="44">
        <v>9.0759662309544371</v>
      </c>
      <c r="EQ27" s="44">
        <v>7.3043921515944286</v>
      </c>
      <c r="ER27" s="44">
        <v>9.6098246246015488</v>
      </c>
      <c r="ES27" s="44">
        <v>9.2814242954333039</v>
      </c>
      <c r="ET27" s="44">
        <v>9.6337266352055462</v>
      </c>
      <c r="EU27" s="44">
        <v>10.146515424106262</v>
      </c>
      <c r="EV27" s="44">
        <v>10.86422928522404</v>
      </c>
      <c r="EW27" s="44">
        <v>10.879240939902916</v>
      </c>
      <c r="EX27" s="44">
        <v>14.028006912748003</v>
      </c>
      <c r="EY27" s="44">
        <v>14.180660628918679</v>
      </c>
      <c r="EZ27" s="44">
        <v>15.957658425235225</v>
      </c>
      <c r="FA27" s="44">
        <v>16.292327444593251</v>
      </c>
      <c r="FB27" s="44">
        <v>16.152748322375459</v>
      </c>
      <c r="FC27" s="44">
        <v>14.941462946080044</v>
      </c>
      <c r="FD27" s="44">
        <v>14.242288453611538</v>
      </c>
      <c r="FE27" s="47">
        <v>14.966557215702538</v>
      </c>
      <c r="FF27" s="47">
        <v>15.28979856000878</v>
      </c>
      <c r="FG27" s="47">
        <v>15.272565273825849</v>
      </c>
      <c r="FH27" s="47">
        <v>13.037841999492054</v>
      </c>
      <c r="FI27" s="47">
        <v>12.961557498627666</v>
      </c>
      <c r="FJ27" s="47">
        <v>12.752776640498256</v>
      </c>
      <c r="FK27" s="47">
        <v>13.916131246119795</v>
      </c>
      <c r="FL27" s="47">
        <v>13.570096666208597</v>
      </c>
      <c r="FM27" s="47">
        <v>13.691453580199846</v>
      </c>
      <c r="FN27" s="47">
        <v>5.8378914492466141</v>
      </c>
      <c r="FO27" s="47">
        <v>6.9511294162507262</v>
      </c>
      <c r="FP27" s="47">
        <v>6.7151381670383401</v>
      </c>
      <c r="FQ27" s="47">
        <v>6.7998380279823634</v>
      </c>
      <c r="FR27" s="47">
        <v>6.7950347164809788</v>
      </c>
      <c r="FS27" s="47">
        <v>6.9936465537983787</v>
      </c>
      <c r="FT27" s="47">
        <v>6.7177901514289777</v>
      </c>
      <c r="FU27" s="47">
        <v>6.7714710346861686</v>
      </c>
      <c r="FV27" s="48">
        <v>6.6051711462942713</v>
      </c>
      <c r="FW27" s="48">
        <v>6.7364325446733266</v>
      </c>
      <c r="FX27" s="48">
        <v>6.2250937857174691</v>
      </c>
      <c r="FY27" s="48">
        <v>5.4994284275463388</v>
      </c>
      <c r="FZ27" s="48">
        <v>5.5758326266787881</v>
      </c>
      <c r="GA27" s="48">
        <v>5.9538457430278289</v>
      </c>
      <c r="GB27" s="48">
        <v>6.9943086435280009</v>
      </c>
      <c r="GC27" s="48">
        <v>5.8651940528171087</v>
      </c>
      <c r="GD27" s="48">
        <v>6.9972974521357498</v>
      </c>
      <c r="GE27" s="48">
        <v>7.0284038886510896</v>
      </c>
      <c r="GF27" s="48">
        <v>7.0793821501116154</v>
      </c>
      <c r="GG27" s="48">
        <v>6.4369292550485726</v>
      </c>
      <c r="GH27" s="48">
        <v>3.9519695441340099</v>
      </c>
      <c r="GI27" s="48">
        <v>8.3279352332055598</v>
      </c>
      <c r="GJ27" s="48">
        <v>8.0923989981665798</v>
      </c>
      <c r="GK27" s="48">
        <v>8.2261212323064097</v>
      </c>
      <c r="GL27" s="48">
        <v>8.2030869459959508</v>
      </c>
      <c r="GM27" s="48">
        <v>8.3644985353481207</v>
      </c>
      <c r="GN27" s="48">
        <v>8.0957440068888094</v>
      </c>
      <c r="GO27" s="48">
        <v>5.2661492301172501</v>
      </c>
      <c r="GP27" s="48">
        <v>3.10038365024102</v>
      </c>
      <c r="GQ27" s="48">
        <v>3.10038365024102</v>
      </c>
      <c r="GR27" s="48">
        <v>7.52640817695523</v>
      </c>
      <c r="GS27" s="48">
        <v>7.9428803336849203</v>
      </c>
      <c r="GT27" s="48">
        <v>8.5189742444068592</v>
      </c>
      <c r="GU27" s="48">
        <v>8.6300628625734994</v>
      </c>
      <c r="GV27" s="48">
        <v>8.8935110756280196</v>
      </c>
      <c r="GW27" s="48">
        <v>9.0101860066498993</v>
      </c>
      <c r="GX27" s="48">
        <v>8.9323503429311906</v>
      </c>
      <c r="GY27" s="48">
        <v>9.0083259357145593</v>
      </c>
      <c r="GZ27" s="48">
        <v>7.8770899934829703</v>
      </c>
      <c r="HA27" s="48">
        <v>7.6458048904834701</v>
      </c>
      <c r="HB27" s="48">
        <v>6.3436633327141001</v>
      </c>
      <c r="HC27" s="48">
        <v>8.0561850047092207</v>
      </c>
      <c r="HD27" s="48">
        <v>8.1013265718663003</v>
      </c>
      <c r="HE27" s="48">
        <v>8.1352782256071396</v>
      </c>
      <c r="HF27" s="48">
        <v>7.9454155798438402</v>
      </c>
      <c r="HG27" s="48">
        <v>8.1025857088108495</v>
      </c>
      <c r="HH27" s="48">
        <v>8.1310387491559801</v>
      </c>
      <c r="HI27" s="48">
        <v>8.0754954140892803</v>
      </c>
      <c r="HJ27" s="48">
        <v>8.1246285700431304</v>
      </c>
      <c r="HK27" s="48">
        <v>8.0997083274312995</v>
      </c>
      <c r="HL27" s="48">
        <v>8.1160835908472606</v>
      </c>
      <c r="HM27" s="48">
        <v>6.7184141661131802</v>
      </c>
      <c r="HN27" s="48">
        <v>6.9587948038205099</v>
      </c>
      <c r="HO27" s="48">
        <v>7.1085632202605096</v>
      </c>
      <c r="HP27" s="48">
        <v>7.08690954895029</v>
      </c>
      <c r="HQ27" s="48">
        <v>6.5576489802205797</v>
      </c>
      <c r="HR27" s="48">
        <v>6.5631098104113201</v>
      </c>
      <c r="HS27" s="48">
        <v>6.54219872056282</v>
      </c>
      <c r="HT27" s="48">
        <v>6.7620070913350503</v>
      </c>
      <c r="HU27" s="48">
        <v>6.7301322536850501</v>
      </c>
      <c r="HV27" s="48">
        <v>6.5885893311075501</v>
      </c>
      <c r="HW27" s="48">
        <v>6.4350132257119501</v>
      </c>
      <c r="HX27" s="48">
        <v>6.8413638773690604</v>
      </c>
      <c r="HY27" s="48">
        <v>6.9604626689196598</v>
      </c>
      <c r="HZ27" s="48">
        <v>6.7646074242235503</v>
      </c>
      <c r="IA27" s="48">
        <v>6.5877733150490698</v>
      </c>
    </row>
    <row r="28" spans="1:451">
      <c r="A28" s="12" t="s">
        <v>284</v>
      </c>
      <c r="B28" s="33" t="s">
        <v>223</v>
      </c>
      <c r="C28" s="12" t="s">
        <v>284</v>
      </c>
      <c r="D28" s="43">
        <v>18.59</v>
      </c>
      <c r="E28" s="43">
        <v>18.7</v>
      </c>
      <c r="F28" s="43">
        <v>18.7</v>
      </c>
      <c r="G28" s="43">
        <v>18.670000000000002</v>
      </c>
      <c r="H28" s="43">
        <v>18.82</v>
      </c>
      <c r="I28" s="43">
        <v>17.809999999999999</v>
      </c>
      <c r="J28" s="43">
        <v>17.39</v>
      </c>
      <c r="K28" s="43">
        <v>16.55</v>
      </c>
      <c r="L28" s="43">
        <v>16.510000000000002</v>
      </c>
      <c r="M28" s="43">
        <v>16.89</v>
      </c>
      <c r="N28" s="43">
        <v>16.703942459430646</v>
      </c>
      <c r="O28" s="43">
        <v>15.388393878987744</v>
      </c>
      <c r="P28" s="43">
        <v>15.420413278435912</v>
      </c>
      <c r="Q28" s="43">
        <v>15.467090851162794</v>
      </c>
      <c r="R28" s="43">
        <v>15.518512152388681</v>
      </c>
      <c r="S28" s="43">
        <v>15.620391237781181</v>
      </c>
      <c r="T28" s="43">
        <v>15.237685600806417</v>
      </c>
      <c r="U28" s="43">
        <v>15.93600879694959</v>
      </c>
      <c r="V28" s="43">
        <v>16.01743498328824</v>
      </c>
      <c r="W28" s="43">
        <v>15.908117090042657</v>
      </c>
      <c r="X28" s="43">
        <v>15.587791146330332</v>
      </c>
      <c r="Y28" s="43">
        <v>15.607120667925704</v>
      </c>
      <c r="Z28" s="43">
        <v>15.810962426207528</v>
      </c>
      <c r="AA28" s="43">
        <v>15.54032179490191</v>
      </c>
      <c r="AB28" s="43">
        <v>15.350995369755369</v>
      </c>
      <c r="AC28" s="43">
        <v>15.239697205177942</v>
      </c>
      <c r="AD28" s="43">
        <v>15.738282601473667</v>
      </c>
      <c r="AE28" s="43">
        <v>15.960063151731521</v>
      </c>
      <c r="AF28" s="43">
        <v>15.133670492861661</v>
      </c>
      <c r="AG28" s="43">
        <v>15.596603696549096</v>
      </c>
      <c r="AH28" s="43">
        <v>13.213858728776453</v>
      </c>
      <c r="AI28" s="43">
        <v>14.925398484115599</v>
      </c>
      <c r="AJ28" s="43">
        <v>14.044118849991218</v>
      </c>
      <c r="AK28" s="43">
        <v>14.315898127757791</v>
      </c>
      <c r="AL28" s="43">
        <v>14.297576545889363</v>
      </c>
      <c r="AM28" s="43">
        <v>15.617678741684465</v>
      </c>
      <c r="AN28" s="43">
        <v>14.987974219243673</v>
      </c>
      <c r="AO28" s="43">
        <v>14.652092213150279</v>
      </c>
      <c r="AP28" s="43">
        <v>13.926817650785567</v>
      </c>
      <c r="AQ28" s="43">
        <v>13.395504033235849</v>
      </c>
      <c r="AR28" s="43">
        <v>15.529321138861475</v>
      </c>
      <c r="AS28" s="43">
        <v>15.648232063629042</v>
      </c>
      <c r="AT28" s="43">
        <v>15.320032010862278</v>
      </c>
      <c r="AU28" s="43">
        <v>16.134623705054292</v>
      </c>
      <c r="AV28" s="43">
        <v>16.430000000000003</v>
      </c>
      <c r="AW28" s="43">
        <v>16.461164924758801</v>
      </c>
      <c r="AX28" s="43">
        <v>16.619440086490531</v>
      </c>
      <c r="AY28" s="43">
        <v>18.015459015110363</v>
      </c>
      <c r="AZ28" s="43">
        <v>18.07403168029002</v>
      </c>
      <c r="BA28" s="43">
        <v>17.042538585493762</v>
      </c>
      <c r="BB28" s="43">
        <v>17.213506615962324</v>
      </c>
      <c r="BC28" s="43">
        <v>17.419834909013115</v>
      </c>
      <c r="BD28" s="43">
        <v>18.613931093383172</v>
      </c>
      <c r="BE28" s="43">
        <v>18.609446700475395</v>
      </c>
      <c r="BF28" s="43">
        <v>19.269845243586964</v>
      </c>
      <c r="BG28" s="43">
        <v>19.299449134693042</v>
      </c>
      <c r="BH28" s="43">
        <v>18.408885538641023</v>
      </c>
      <c r="BI28" s="43">
        <v>18.922803943977655</v>
      </c>
      <c r="BJ28" s="43">
        <v>18.641616173456821</v>
      </c>
      <c r="BK28" s="43">
        <v>17.131686157507989</v>
      </c>
      <c r="BL28" s="43">
        <v>19.468548703745125</v>
      </c>
      <c r="BM28" s="43">
        <v>19.001040694112316</v>
      </c>
      <c r="BN28" s="43">
        <v>19.301921474172001</v>
      </c>
      <c r="BO28" s="43">
        <v>19.115330967777023</v>
      </c>
      <c r="BP28" s="43">
        <v>19.27529099947996</v>
      </c>
      <c r="BQ28" s="43">
        <v>19.438597979792295</v>
      </c>
      <c r="BR28" s="43">
        <v>19.958261642121951</v>
      </c>
      <c r="BS28" s="43">
        <v>20.125376543958261</v>
      </c>
      <c r="BT28" s="43">
        <v>19.699432469803014</v>
      </c>
      <c r="BU28" s="43">
        <v>19.997988706903698</v>
      </c>
      <c r="BV28" s="43">
        <v>15.291629477685365</v>
      </c>
      <c r="BW28" s="43">
        <v>15.974634519177162</v>
      </c>
      <c r="BX28" s="43">
        <v>16.423197335675432</v>
      </c>
      <c r="BY28" s="43">
        <v>18.342605021038093</v>
      </c>
      <c r="BZ28" s="43">
        <v>18.303080826201942</v>
      </c>
      <c r="CA28" s="43">
        <v>17.919290082615071</v>
      </c>
      <c r="CB28" s="43">
        <v>16.790624279438806</v>
      </c>
      <c r="CC28" s="43">
        <v>18.130503673356607</v>
      </c>
      <c r="CD28" s="43">
        <v>17.364576102898493</v>
      </c>
      <c r="CE28" s="43">
        <v>16.750466265033815</v>
      </c>
      <c r="CF28" s="43">
        <v>15.905817017148069</v>
      </c>
      <c r="CG28" s="43">
        <v>16.003331927096699</v>
      </c>
      <c r="CH28" s="43">
        <v>16.821636757171429</v>
      </c>
      <c r="CI28" s="43">
        <v>16.974816354134646</v>
      </c>
      <c r="CJ28" s="43">
        <v>17.689870433529517</v>
      </c>
      <c r="CK28" s="43">
        <v>16.037023717977714</v>
      </c>
      <c r="CL28" s="43">
        <v>16.60062545523915</v>
      </c>
      <c r="CM28" s="43">
        <v>16.368267389632987</v>
      </c>
      <c r="CN28" s="43">
        <v>16.413554480685011</v>
      </c>
      <c r="CO28" s="43">
        <v>13.603890915713805</v>
      </c>
      <c r="CP28" s="43">
        <v>16.640088447504219</v>
      </c>
      <c r="CQ28" s="43">
        <v>16.474438361964676</v>
      </c>
      <c r="CR28" s="43">
        <v>15.786194776141963</v>
      </c>
      <c r="CS28" s="43">
        <v>15.747743119750673</v>
      </c>
      <c r="CT28" s="43">
        <v>16.710503964092712</v>
      </c>
      <c r="CU28" s="43">
        <v>16.321933461984592</v>
      </c>
      <c r="CV28" s="43">
        <v>16.233301935439513</v>
      </c>
      <c r="CW28" s="43">
        <v>17.43323190111359</v>
      </c>
      <c r="CX28" s="43">
        <v>17.33025175317448</v>
      </c>
      <c r="CY28" s="43">
        <v>15.133996465903104</v>
      </c>
      <c r="CZ28" s="43">
        <v>15.266758360561187</v>
      </c>
      <c r="DA28" s="43">
        <v>13.578558132549599</v>
      </c>
      <c r="DB28" s="43">
        <v>13.110214766498975</v>
      </c>
      <c r="DC28" s="43">
        <v>14.616013464184434</v>
      </c>
      <c r="DD28" s="43">
        <v>10.518720235737289</v>
      </c>
      <c r="DE28" s="43">
        <v>14.094708268739408</v>
      </c>
      <c r="DF28" s="43">
        <v>11.71610691853955</v>
      </c>
      <c r="DG28" s="43">
        <v>12.498940650215518</v>
      </c>
      <c r="DH28" s="43">
        <v>11.91266470215108</v>
      </c>
      <c r="DI28" s="43">
        <v>13.93701567675453</v>
      </c>
      <c r="DJ28" s="43">
        <v>14.036590815043517</v>
      </c>
      <c r="DK28" s="43">
        <v>14.307670980122003</v>
      </c>
      <c r="DL28" s="43">
        <v>14.225442105046781</v>
      </c>
      <c r="DM28" s="43">
        <v>14.189621010858888</v>
      </c>
      <c r="DN28" s="43">
        <v>14.845222013315084</v>
      </c>
      <c r="DO28" s="43">
        <v>14.68768706907683</v>
      </c>
      <c r="DP28" s="43">
        <v>14.850588542218219</v>
      </c>
      <c r="DQ28" s="43">
        <v>14.242988853685768</v>
      </c>
      <c r="DR28" s="43">
        <v>14.722070128889346</v>
      </c>
      <c r="DS28" s="43">
        <v>14.677682117483847</v>
      </c>
      <c r="DT28" s="43">
        <v>14.288957398381417</v>
      </c>
      <c r="DU28" s="43">
        <v>14.950937046160025</v>
      </c>
      <c r="DV28" s="43">
        <v>14.42</v>
      </c>
      <c r="DW28" s="43">
        <v>14.208723886070597</v>
      </c>
      <c r="DX28" s="43">
        <v>14.315285362085715</v>
      </c>
      <c r="DY28" s="43">
        <v>13.083776761422328</v>
      </c>
      <c r="DZ28" s="43">
        <v>13.298308703679815</v>
      </c>
      <c r="EA28" s="43">
        <v>13.908719824963939</v>
      </c>
      <c r="EB28" s="43">
        <v>13.27066531467552</v>
      </c>
      <c r="EC28" s="43">
        <v>12.442814487072695</v>
      </c>
      <c r="ED28" s="43">
        <v>12.752887413943172</v>
      </c>
      <c r="EE28" s="43">
        <v>12.787780287752726</v>
      </c>
      <c r="EF28" s="43">
        <v>12.718998501057943</v>
      </c>
      <c r="EG28" s="43">
        <v>13.087924960773032</v>
      </c>
      <c r="EH28" s="43">
        <v>13.446045193965974</v>
      </c>
      <c r="EI28" s="43">
        <v>13.157092912235802</v>
      </c>
      <c r="EJ28" s="43">
        <v>12.729973142547253</v>
      </c>
      <c r="EK28" s="43">
        <v>12.058911977068016</v>
      </c>
      <c r="EL28" s="43">
        <v>9.478899538389733</v>
      </c>
      <c r="EM28" s="43">
        <v>9.1031170176875058</v>
      </c>
      <c r="EN28" s="43">
        <v>9.6907629101211246</v>
      </c>
      <c r="EO28" s="43">
        <v>9.4657873232681915</v>
      </c>
      <c r="EP28" s="43">
        <v>8.4684750690141044</v>
      </c>
      <c r="EQ28" s="43">
        <v>7.8499296166917238</v>
      </c>
      <c r="ER28" s="43">
        <v>7.9799632041257098</v>
      </c>
      <c r="ES28" s="43">
        <v>7.3376564156456263</v>
      </c>
      <c r="ET28" s="43">
        <v>9.6344895321859916</v>
      </c>
      <c r="EU28" s="43">
        <v>9.2454342738982582</v>
      </c>
      <c r="EV28" s="43">
        <v>8.7808702411955508</v>
      </c>
      <c r="EW28" s="43">
        <v>5.1995772446201549</v>
      </c>
      <c r="EX28" s="43">
        <v>5.6553783572585719</v>
      </c>
      <c r="EY28" s="43">
        <v>5.9110454654746052</v>
      </c>
      <c r="EZ28" s="43">
        <v>8.729044270889224</v>
      </c>
      <c r="FA28" s="43">
        <v>11.980895836584679</v>
      </c>
      <c r="FB28" s="43">
        <v>7.0077640927618852</v>
      </c>
      <c r="FC28" s="43">
        <v>12.255783439426422</v>
      </c>
      <c r="FD28" s="43">
        <v>12.201085846160362</v>
      </c>
      <c r="FE28" s="48">
        <v>9.0612695190298798</v>
      </c>
      <c r="FF28" s="48">
        <v>8.8593592172989499</v>
      </c>
      <c r="FG28" s="48">
        <v>9.0439375086298188</v>
      </c>
      <c r="FH28" s="48">
        <v>9.614542207960417</v>
      </c>
      <c r="FI28" s="48">
        <v>9.6980436687022493</v>
      </c>
      <c r="FJ28" s="48">
        <v>9.9392498420392457</v>
      </c>
      <c r="FK28" s="48">
        <v>9.6003602998200801</v>
      </c>
      <c r="FL28" s="48">
        <v>9.3556064322377459</v>
      </c>
      <c r="FM28" s="48">
        <v>7.6717087988132686</v>
      </c>
      <c r="FN28" s="47">
        <v>6.7564758241411669</v>
      </c>
      <c r="FO28" s="48">
        <v>7.0666724562584164</v>
      </c>
      <c r="FP28" s="48">
        <v>5.9338014533313954</v>
      </c>
      <c r="FQ28" s="48">
        <v>6.5794032473644277</v>
      </c>
      <c r="FR28" s="48">
        <v>6.3646300536213261</v>
      </c>
      <c r="FS28" s="47">
        <v>6.8605801692347086</v>
      </c>
      <c r="FT28" s="47">
        <v>6.848402135322865</v>
      </c>
      <c r="FU28" s="47">
        <v>6.6696854888591908</v>
      </c>
      <c r="FV28" s="47">
        <v>6.5809348206087943</v>
      </c>
      <c r="FW28" s="48">
        <v>6.6818189572607745</v>
      </c>
      <c r="FX28" s="48">
        <v>6.8262185277736274</v>
      </c>
      <c r="FY28" s="48">
        <v>6.7420890660928201</v>
      </c>
      <c r="FZ28" s="48">
        <v>6.6473661076963566</v>
      </c>
      <c r="GA28" s="48">
        <v>6.7110106598947805</v>
      </c>
      <c r="GB28" s="48">
        <v>6.5603966991425642</v>
      </c>
      <c r="GC28" s="48">
        <v>8.4949364499902273</v>
      </c>
      <c r="GD28" s="48">
        <v>8.4395029429033421</v>
      </c>
      <c r="GE28" s="48">
        <v>8.1624545649109912</v>
      </c>
      <c r="GF28" s="48">
        <v>7.9950838760799803</v>
      </c>
      <c r="GG28" s="48">
        <v>6.1703707074291119</v>
      </c>
      <c r="GH28" s="48">
        <v>6.37614294309782</v>
      </c>
      <c r="GI28" s="48">
        <v>8.0299579739654501</v>
      </c>
      <c r="GJ28" s="48">
        <v>8.3668219998988</v>
      </c>
      <c r="GK28" s="48">
        <v>8.7924265592100497</v>
      </c>
      <c r="GL28" s="48">
        <v>9.4919152664193192</v>
      </c>
      <c r="GM28" s="48">
        <v>8.5190620334924692</v>
      </c>
      <c r="GN28" s="48">
        <v>8.3575390094979607</v>
      </c>
      <c r="GO28" s="48">
        <v>8.3194353568677908</v>
      </c>
      <c r="GP28" s="48">
        <v>8.0796578459820498</v>
      </c>
      <c r="GQ28" s="48">
        <v>8.0796578459820498</v>
      </c>
      <c r="GR28" s="48">
        <v>7.3839838912792501</v>
      </c>
      <c r="GS28" s="48">
        <v>7.2852310921709202</v>
      </c>
      <c r="GT28" s="48">
        <v>7.0289803510141198</v>
      </c>
      <c r="GU28" s="48">
        <v>7.3827017522778204</v>
      </c>
      <c r="GV28" s="48">
        <v>7.4995237736758096</v>
      </c>
      <c r="GW28" s="48">
        <v>7.8778875724517201</v>
      </c>
      <c r="GX28" s="48">
        <v>7.06919791260328</v>
      </c>
      <c r="GY28" s="48">
        <v>7.5043525214276601</v>
      </c>
      <c r="GZ28" s="48">
        <v>7.4081495041952703</v>
      </c>
      <c r="HA28" s="48">
        <v>6.0760544614821299</v>
      </c>
      <c r="HB28" s="48">
        <v>5.5013674618503998</v>
      </c>
      <c r="HC28" s="48">
        <v>6.0792673024048796</v>
      </c>
      <c r="HD28" s="48">
        <v>5.0566188368040397</v>
      </c>
      <c r="HE28" s="48">
        <v>4.9124310126347597</v>
      </c>
      <c r="HF28" s="48">
        <v>4.97057515089225</v>
      </c>
      <c r="HG28" s="48">
        <v>4.9187579198867803</v>
      </c>
      <c r="HH28" s="48">
        <v>5.2309128422056403</v>
      </c>
      <c r="HI28" s="48">
        <v>5.3655580155552096</v>
      </c>
      <c r="HJ28" s="48">
        <v>6.5221885368070804</v>
      </c>
      <c r="HK28" s="48">
        <v>6.2353646718792799</v>
      </c>
      <c r="HL28" s="48">
        <v>6.9144188209914601</v>
      </c>
      <c r="HM28" s="48">
        <v>5.3918469278708301</v>
      </c>
      <c r="HN28" s="48">
        <v>5.7583361152346404</v>
      </c>
      <c r="HO28" s="48">
        <v>5.6843859456911101</v>
      </c>
      <c r="HP28" s="48">
        <v>5.7650872083782998</v>
      </c>
      <c r="HQ28" s="48">
        <v>5.7938828176563799</v>
      </c>
      <c r="HR28" s="48">
        <v>3.3403916416422601</v>
      </c>
      <c r="HS28" s="48">
        <v>4.6448476537645398</v>
      </c>
      <c r="HT28" s="48">
        <v>4.6004954892300303</v>
      </c>
      <c r="HU28" s="48">
        <v>4.2744444469647203</v>
      </c>
      <c r="HV28" s="48">
        <v>4.2047525690306804</v>
      </c>
      <c r="HW28" s="48">
        <v>3.6509648097682099</v>
      </c>
      <c r="HX28" s="48">
        <v>3.1946040389167001</v>
      </c>
      <c r="HY28" s="48">
        <v>3.2747237850159201</v>
      </c>
      <c r="HZ28" s="48">
        <v>3.2692297444228999</v>
      </c>
      <c r="IA28" s="48">
        <v>3.2770580432714902</v>
      </c>
    </row>
    <row r="29" spans="1:451">
      <c r="A29" s="12" t="s">
        <v>285</v>
      </c>
      <c r="B29" s="33" t="s">
        <v>224</v>
      </c>
      <c r="C29" s="12" t="s">
        <v>285</v>
      </c>
      <c r="D29" s="43">
        <v>20.61</v>
      </c>
      <c r="E29" s="43">
        <v>21.69</v>
      </c>
      <c r="F29" s="43">
        <v>21.15</v>
      </c>
      <c r="G29" s="43">
        <v>21.01</v>
      </c>
      <c r="H29" s="43">
        <v>20.05</v>
      </c>
      <c r="I29" s="43">
        <v>19.41</v>
      </c>
      <c r="J29" s="43">
        <v>19.190000000000001</v>
      </c>
      <c r="K29" s="43">
        <v>19.02</v>
      </c>
      <c r="L29" s="43">
        <v>18.989999999999998</v>
      </c>
      <c r="M29" s="43">
        <v>18.96</v>
      </c>
      <c r="N29" s="43">
        <v>19.436851907610265</v>
      </c>
      <c r="O29" s="43">
        <v>18.307301232448776</v>
      </c>
      <c r="P29" s="43">
        <v>18.338800473630986</v>
      </c>
      <c r="Q29" s="43">
        <v>16.306540298678435</v>
      </c>
      <c r="R29" s="43">
        <v>16.44777343608995</v>
      </c>
      <c r="S29" s="43">
        <v>17.896456919858515</v>
      </c>
      <c r="T29" s="43">
        <v>17.720901979258279</v>
      </c>
      <c r="U29" s="43">
        <v>17.889634777154143</v>
      </c>
      <c r="V29" s="43">
        <v>17.789886639035345</v>
      </c>
      <c r="W29" s="43">
        <v>17.836853478060931</v>
      </c>
      <c r="X29" s="43">
        <v>17.674910925976612</v>
      </c>
      <c r="Y29" s="43">
        <v>17.151755265872051</v>
      </c>
      <c r="Z29" s="43">
        <v>16.953818709064386</v>
      </c>
      <c r="AA29" s="43">
        <v>17.156593897724978</v>
      </c>
      <c r="AB29" s="43">
        <v>17.72750959395281</v>
      </c>
      <c r="AC29" s="43">
        <v>18.190893513491339</v>
      </c>
      <c r="AD29" s="43">
        <v>17.517978229477947</v>
      </c>
      <c r="AE29" s="43">
        <v>17.46337330516582</v>
      </c>
      <c r="AF29" s="43">
        <v>17.271937363932444</v>
      </c>
      <c r="AG29" s="43">
        <v>16.976268555062823</v>
      </c>
      <c r="AH29" s="43">
        <v>16.39860969534616</v>
      </c>
      <c r="AI29" s="43">
        <v>16.53249358105997</v>
      </c>
      <c r="AJ29" s="43">
        <v>16.970453549830189</v>
      </c>
      <c r="AK29" s="43">
        <v>16.839356272434806</v>
      </c>
      <c r="AL29" s="43">
        <v>15.849841906708571</v>
      </c>
      <c r="AM29" s="43">
        <v>17.484445324858591</v>
      </c>
      <c r="AN29" s="43">
        <v>16.877994007781286</v>
      </c>
      <c r="AO29" s="43">
        <v>17.387986774224306</v>
      </c>
      <c r="AP29" s="43">
        <v>17.986037779101601</v>
      </c>
      <c r="AQ29" s="43">
        <v>17.953167268699328</v>
      </c>
      <c r="AR29" s="43">
        <v>17.911993896874691</v>
      </c>
      <c r="AS29" s="43">
        <v>17.552759048504143</v>
      </c>
      <c r="AT29" s="43">
        <v>16.437117258384411</v>
      </c>
      <c r="AU29" s="43">
        <v>17.286126683941998</v>
      </c>
      <c r="AV29" s="43">
        <v>17.442691910056034</v>
      </c>
      <c r="AW29" s="43">
        <v>16.659998443524739</v>
      </c>
      <c r="AX29" s="43">
        <v>16.020839128971602</v>
      </c>
      <c r="AY29" s="43">
        <v>17.186839964783047</v>
      </c>
      <c r="AZ29" s="43">
        <v>12.315405432014748</v>
      </c>
      <c r="BA29" s="43">
        <v>12.452297063857035</v>
      </c>
      <c r="BB29" s="43">
        <v>12.566335037740329</v>
      </c>
      <c r="BC29" s="43">
        <v>15.158714711584665</v>
      </c>
      <c r="BD29" s="43">
        <v>18.22647762675507</v>
      </c>
      <c r="BE29" s="43">
        <v>17.250834917132412</v>
      </c>
      <c r="BF29" s="43">
        <v>17.506954597464517</v>
      </c>
      <c r="BG29" s="43">
        <v>17.956329727478597</v>
      </c>
      <c r="BH29" s="43">
        <v>17.869686414676188</v>
      </c>
      <c r="BI29" s="43">
        <v>17.86444794375209</v>
      </c>
      <c r="BJ29" s="43">
        <v>17.072594858816434</v>
      </c>
      <c r="BK29" s="43">
        <v>15.336144153626089</v>
      </c>
      <c r="BL29" s="43">
        <v>17.170641623581094</v>
      </c>
      <c r="BM29" s="43">
        <v>16.907644333760246</v>
      </c>
      <c r="BN29" s="43">
        <v>16.309200288946066</v>
      </c>
      <c r="BO29" s="43">
        <v>16.133130651092458</v>
      </c>
      <c r="BP29" s="43">
        <v>15.857973254750995</v>
      </c>
      <c r="BQ29" s="43">
        <v>15.766476509829371</v>
      </c>
      <c r="BR29" s="43">
        <v>16.008907771883404</v>
      </c>
      <c r="BS29" s="43">
        <v>14.01621333254384</v>
      </c>
      <c r="BT29" s="43">
        <v>14.117759209074405</v>
      </c>
      <c r="BU29" s="43">
        <v>14.55652060877426</v>
      </c>
      <c r="BV29" s="43">
        <v>12.480957200482511</v>
      </c>
      <c r="BW29" s="43">
        <v>12.798246789740853</v>
      </c>
      <c r="BX29" s="43">
        <v>12.666538279018081</v>
      </c>
      <c r="BY29" s="43">
        <v>18.088397282862211</v>
      </c>
      <c r="BZ29" s="43">
        <v>18.126764250494276</v>
      </c>
      <c r="CA29" s="43">
        <v>17.500370905350159</v>
      </c>
      <c r="CB29" s="43">
        <v>17.914461386484312</v>
      </c>
      <c r="CC29" s="43">
        <v>15.521201429388199</v>
      </c>
      <c r="CD29" s="43">
        <v>15.682051457054785</v>
      </c>
      <c r="CE29" s="43">
        <v>17.593597061783388</v>
      </c>
      <c r="CF29" s="43">
        <v>17.590173398712121</v>
      </c>
      <c r="CG29" s="43">
        <v>17.809605980317777</v>
      </c>
      <c r="CH29" s="43">
        <v>17.974148439187726</v>
      </c>
      <c r="CI29" s="43">
        <v>17.459364285306105</v>
      </c>
      <c r="CJ29" s="43">
        <v>16.644160653514106</v>
      </c>
      <c r="CK29" s="43">
        <v>17.982787379963852</v>
      </c>
      <c r="CL29" s="43">
        <v>17.949743537653763</v>
      </c>
      <c r="CM29" s="43">
        <v>17.046359596949127</v>
      </c>
      <c r="CN29" s="43">
        <v>17.165259271161492</v>
      </c>
      <c r="CO29" s="43">
        <v>17.237939687878001</v>
      </c>
      <c r="CP29" s="43">
        <v>17.325020949647154</v>
      </c>
      <c r="CQ29" s="43">
        <v>16.758414387166404</v>
      </c>
      <c r="CR29" s="43">
        <v>16.971738828764284</v>
      </c>
      <c r="CS29" s="43">
        <v>17.355813609321896</v>
      </c>
      <c r="CT29" s="43">
        <v>16.839970792321587</v>
      </c>
      <c r="CU29" s="43">
        <v>17.013744652240838</v>
      </c>
      <c r="CV29" s="43">
        <v>17.544583483628248</v>
      </c>
      <c r="CW29" s="43">
        <v>15.85176285292917</v>
      </c>
      <c r="CX29" s="43">
        <v>15.151861813153609</v>
      </c>
      <c r="CY29" s="43">
        <v>14.799280728974621</v>
      </c>
      <c r="CZ29" s="43">
        <v>13.675218178150347</v>
      </c>
      <c r="DA29" s="43">
        <v>14.265573733154122</v>
      </c>
      <c r="DB29" s="43">
        <v>13.566015872174901</v>
      </c>
      <c r="DC29" s="43">
        <v>12.028854660415796</v>
      </c>
      <c r="DD29" s="43">
        <v>10.984905064182216</v>
      </c>
      <c r="DE29" s="43">
        <v>12.791944493773492</v>
      </c>
      <c r="DF29" s="43">
        <v>10.546826817954024</v>
      </c>
      <c r="DG29" s="43">
        <v>11.767654148655865</v>
      </c>
      <c r="DH29" s="43">
        <v>12.29109049397046</v>
      </c>
      <c r="DI29" s="43">
        <v>12.105791572260815</v>
      </c>
      <c r="DJ29" s="43">
        <v>11.526289880948605</v>
      </c>
      <c r="DK29" s="43">
        <v>11.668589653148056</v>
      </c>
      <c r="DL29" s="43">
        <v>11.202969681666977</v>
      </c>
      <c r="DM29" s="43">
        <v>11.155697996057109</v>
      </c>
      <c r="DN29" s="43">
        <v>11.736668727171068</v>
      </c>
      <c r="DO29" s="43">
        <v>11.764256496752013</v>
      </c>
      <c r="DP29" s="43">
        <v>11.874173839108668</v>
      </c>
      <c r="DQ29" s="43">
        <v>11.730307033304582</v>
      </c>
      <c r="DR29" s="43">
        <v>12.77933301569756</v>
      </c>
      <c r="DS29" s="43">
        <v>11.329979586606735</v>
      </c>
      <c r="DT29" s="43">
        <v>11.702888711726191</v>
      </c>
      <c r="DU29" s="43">
        <v>7.8325859398941011</v>
      </c>
      <c r="DV29" s="43">
        <v>11.62</v>
      </c>
      <c r="DW29" s="43">
        <v>11.745842698843774</v>
      </c>
      <c r="DX29" s="43">
        <v>11.700981841952109</v>
      </c>
      <c r="DY29" s="43">
        <v>12.096020328225658</v>
      </c>
      <c r="DZ29" s="43">
        <v>11.636365144751952</v>
      </c>
      <c r="EA29" s="43">
        <v>11.968278888117069</v>
      </c>
      <c r="EB29" s="43">
        <v>11.806876400093149</v>
      </c>
      <c r="EC29" s="43">
        <v>11.784829350360821</v>
      </c>
      <c r="ED29" s="43">
        <v>10.898950522815001</v>
      </c>
      <c r="EE29" s="43">
        <v>10.578208411180755</v>
      </c>
      <c r="EF29" s="43">
        <v>12.395109693381038</v>
      </c>
      <c r="EG29" s="43">
        <v>12.055340383225751</v>
      </c>
      <c r="EH29" s="43">
        <v>12.039001032260908</v>
      </c>
      <c r="EI29" s="43">
        <v>12.279429344733966</v>
      </c>
      <c r="EJ29" s="43">
        <v>11.701581918682862</v>
      </c>
      <c r="EK29" s="43">
        <v>11.753319885219186</v>
      </c>
      <c r="EL29" s="43">
        <v>5.634734508087007</v>
      </c>
      <c r="EM29" s="43">
        <v>4.9309574568081409</v>
      </c>
      <c r="EN29" s="43">
        <v>5.0914001309565169</v>
      </c>
      <c r="EO29" s="43">
        <v>5.1408120740501362</v>
      </c>
      <c r="EP29" s="43">
        <v>5.1549674976242379</v>
      </c>
      <c r="EQ29" s="43">
        <v>5.3856012121572601</v>
      </c>
      <c r="ER29" s="43">
        <v>7.8085951549369081</v>
      </c>
      <c r="ES29" s="43">
        <v>7.7220487324275284</v>
      </c>
      <c r="ET29" s="43">
        <v>7.7439830854370744</v>
      </c>
      <c r="EU29" s="43">
        <v>7.8492497294334633</v>
      </c>
      <c r="EV29" s="43">
        <v>7.777484740639343</v>
      </c>
      <c r="EW29" s="43">
        <v>7.7738750096694771</v>
      </c>
      <c r="EX29" s="43">
        <v>8.4116469720556655</v>
      </c>
      <c r="EY29" s="43">
        <v>8.7030597885685239</v>
      </c>
      <c r="EZ29" s="43">
        <v>8.7376944134374863</v>
      </c>
      <c r="FA29" s="43">
        <v>10.683949112333147</v>
      </c>
      <c r="FB29" s="43">
        <v>10.150613730843775</v>
      </c>
      <c r="FC29" s="43">
        <v>9.7759489525065852</v>
      </c>
      <c r="FD29" s="43">
        <v>9.7476443580222583</v>
      </c>
      <c r="FE29" s="48">
        <v>9.8943586799180991</v>
      </c>
      <c r="FF29" s="48">
        <v>9.7790292847964277</v>
      </c>
      <c r="FG29" s="48">
        <v>10.972918995405838</v>
      </c>
      <c r="FH29" s="48">
        <v>10.817512030155289</v>
      </c>
      <c r="FI29" s="48">
        <v>11.280299262160604</v>
      </c>
      <c r="FJ29" s="48">
        <v>10.874358030251443</v>
      </c>
      <c r="FK29" s="48">
        <v>10.413817366623466</v>
      </c>
      <c r="FL29" s="48">
        <v>9.5158286952262134</v>
      </c>
      <c r="FM29" s="48">
        <v>10.1872595726666</v>
      </c>
      <c r="FN29" s="48">
        <v>5.230971370551166</v>
      </c>
      <c r="FO29" s="48">
        <v>5.2646114657868335</v>
      </c>
      <c r="FP29" s="48">
        <v>5.4740573362849645</v>
      </c>
      <c r="FQ29" s="48">
        <v>6.8746639501520308</v>
      </c>
      <c r="FR29" s="48">
        <v>6.5034968327704608</v>
      </c>
      <c r="FS29" s="48">
        <v>6.8985863508647993</v>
      </c>
      <c r="FT29" s="47">
        <v>6.9061429880065948</v>
      </c>
      <c r="FU29" s="47">
        <v>6.642283719055329</v>
      </c>
      <c r="FV29" s="47">
        <v>6.7678617329111086</v>
      </c>
      <c r="FW29" s="47">
        <v>6.6452035437181465</v>
      </c>
      <c r="FX29" s="47">
        <v>6.717201277741947</v>
      </c>
      <c r="FY29" s="48">
        <v>6.7703336428809546</v>
      </c>
      <c r="FZ29" s="48">
        <v>7.2276874441690415</v>
      </c>
      <c r="GA29" s="48">
        <v>7.0810631244771542</v>
      </c>
      <c r="GB29" s="48">
        <v>2.6198277323896728</v>
      </c>
      <c r="GC29" s="48">
        <v>2.5800480967189308</v>
      </c>
      <c r="GD29" s="48">
        <v>2.5394308057032506</v>
      </c>
      <c r="GE29" s="48">
        <v>2.4836223274743308</v>
      </c>
      <c r="GF29" s="48">
        <v>3.1508430245953072</v>
      </c>
      <c r="GG29" s="48">
        <v>2.8380118155875222</v>
      </c>
      <c r="GH29" s="48">
        <v>6.7055452604139303</v>
      </c>
      <c r="GI29" s="48">
        <v>6.8962972561567604</v>
      </c>
      <c r="GJ29" s="48">
        <v>6.2043098352085098</v>
      </c>
      <c r="GK29" s="48">
        <v>6.2287679441285997</v>
      </c>
      <c r="GL29" s="48">
        <v>6.1099807040807903</v>
      </c>
      <c r="GM29" s="48">
        <v>6.02680927911008</v>
      </c>
      <c r="GN29" s="48">
        <v>5.7747121812967999</v>
      </c>
      <c r="GO29" s="48">
        <v>6.2006413174140098</v>
      </c>
      <c r="GP29" s="48">
        <v>5.97935906602165</v>
      </c>
      <c r="GQ29" s="48">
        <v>5.97935906602165</v>
      </c>
      <c r="GR29" s="48">
        <v>5.9720619508078601</v>
      </c>
      <c r="GS29" s="48">
        <v>5.9525442576707901</v>
      </c>
      <c r="GT29" s="48">
        <v>5.8853202729551199</v>
      </c>
      <c r="GU29" s="48">
        <v>5.84557167095151</v>
      </c>
      <c r="GV29" s="48">
        <v>5.6390120873171199</v>
      </c>
      <c r="GW29" s="48">
        <v>5.7425147578298299</v>
      </c>
      <c r="GX29" s="48">
        <v>5.5237878754691598</v>
      </c>
      <c r="GY29" s="48">
        <v>5.5872608075242196</v>
      </c>
      <c r="GZ29" s="48">
        <v>7.0786164222783396</v>
      </c>
      <c r="HA29" s="48">
        <v>5.8919041082485801</v>
      </c>
      <c r="HB29" s="48">
        <v>5.3051706338567604</v>
      </c>
      <c r="HC29" s="48">
        <v>5.1611722126457797</v>
      </c>
      <c r="HD29" s="48">
        <v>4.8774625662545503</v>
      </c>
      <c r="HE29" s="48">
        <v>4.87683852315834</v>
      </c>
      <c r="HF29" s="48">
        <v>5.0210586610907599</v>
      </c>
      <c r="HG29" s="48">
        <v>5.0035944325487698</v>
      </c>
      <c r="HH29" s="48">
        <v>4.9450943494517601</v>
      </c>
      <c r="HI29" s="48">
        <v>4.8440730136892096</v>
      </c>
      <c r="HJ29" s="48">
        <v>4.9147965645065099</v>
      </c>
      <c r="HK29" s="48">
        <v>5.0939853695209196</v>
      </c>
      <c r="HL29" s="48">
        <v>5.1261101716845596</v>
      </c>
      <c r="HM29" s="48">
        <v>5.54749069089325</v>
      </c>
      <c r="HN29" s="48">
        <v>5.8332211000693102</v>
      </c>
      <c r="HO29" s="48">
        <v>5.9132714213740698</v>
      </c>
      <c r="HP29" s="48">
        <v>5.8125111021508902</v>
      </c>
      <c r="HQ29" s="48">
        <v>5.6247281662041297</v>
      </c>
      <c r="HR29" s="48">
        <v>5.61663596099622</v>
      </c>
      <c r="HS29" s="48">
        <v>5.5095058294005304</v>
      </c>
      <c r="HT29" s="48">
        <v>5.6038043446487498</v>
      </c>
      <c r="HU29" s="48">
        <v>5.5920530420895602</v>
      </c>
      <c r="HV29" s="48">
        <v>5.62496756661068</v>
      </c>
      <c r="HW29" s="48">
        <v>5.2850470010172801</v>
      </c>
      <c r="HX29" s="48">
        <v>5.2234769687813998</v>
      </c>
      <c r="HY29" s="48">
        <v>5.5429612750311303</v>
      </c>
      <c r="HZ29" s="48">
        <v>5.4567229815661902</v>
      </c>
      <c r="IA29" s="48">
        <v>5.7251519981638603</v>
      </c>
    </row>
    <row r="30" spans="1:451">
      <c r="A30" s="12" t="s">
        <v>286</v>
      </c>
      <c r="B30" s="33" t="s">
        <v>225</v>
      </c>
      <c r="C30" s="12" t="s">
        <v>286</v>
      </c>
      <c r="D30" s="43">
        <v>20.010000000000002</v>
      </c>
      <c r="E30" s="43">
        <v>19.34</v>
      </c>
      <c r="F30" s="43">
        <v>18.89</v>
      </c>
      <c r="G30" s="43">
        <v>18.510000000000002</v>
      </c>
      <c r="H30" s="43">
        <v>18.64</v>
      </c>
      <c r="I30" s="43">
        <v>17.96</v>
      </c>
      <c r="J30" s="43">
        <v>17.95</v>
      </c>
      <c r="K30" s="43">
        <v>17.399999999999999</v>
      </c>
      <c r="L30" s="43">
        <v>16.989999999999998</v>
      </c>
      <c r="M30" s="43">
        <v>14.42</v>
      </c>
      <c r="N30" s="43">
        <v>15.068248868828434</v>
      </c>
      <c r="O30" s="43">
        <v>15.081987739364587</v>
      </c>
      <c r="P30" s="43">
        <v>14.93710511138916</v>
      </c>
      <c r="Q30" s="43">
        <v>14.891855752225869</v>
      </c>
      <c r="R30" s="43">
        <v>16.916138187626164</v>
      </c>
      <c r="S30" s="43">
        <v>18.051989551033238</v>
      </c>
      <c r="T30" s="43">
        <v>17.483531869928282</v>
      </c>
      <c r="U30" s="43">
        <v>17.785614283830945</v>
      </c>
      <c r="V30" s="43">
        <v>17.15052632037672</v>
      </c>
      <c r="W30" s="43">
        <v>17.235832469335776</v>
      </c>
      <c r="X30" s="43">
        <v>16.972778815509709</v>
      </c>
      <c r="Y30" s="43">
        <v>16.905840192324735</v>
      </c>
      <c r="Z30" s="43">
        <v>17.00495948888517</v>
      </c>
      <c r="AA30" s="43">
        <v>16.522154771415877</v>
      </c>
      <c r="AB30" s="43">
        <v>16.512505317822438</v>
      </c>
      <c r="AC30" s="43">
        <v>15.883458725049309</v>
      </c>
      <c r="AD30" s="43">
        <v>15.588892434792248</v>
      </c>
      <c r="AE30" s="43">
        <v>15.955189448848259</v>
      </c>
      <c r="AF30" s="43">
        <v>15.618680731647848</v>
      </c>
      <c r="AG30" s="43">
        <v>15.610051057732925</v>
      </c>
      <c r="AH30" s="43">
        <v>14.95554277586719</v>
      </c>
      <c r="AI30" s="43">
        <v>17.010811465319531</v>
      </c>
      <c r="AJ30" s="43">
        <v>17.797481517345293</v>
      </c>
      <c r="AK30" s="43">
        <v>17.633800180504654</v>
      </c>
      <c r="AL30" s="43">
        <v>17.971427784015216</v>
      </c>
      <c r="AM30" s="43">
        <v>17.690003021252711</v>
      </c>
      <c r="AN30" s="43">
        <v>17.138958122551344</v>
      </c>
      <c r="AO30" s="43">
        <v>17.938247986543498</v>
      </c>
      <c r="AP30" s="43">
        <v>16.546150535201289</v>
      </c>
      <c r="AQ30" s="43">
        <v>17.189713125311517</v>
      </c>
      <c r="AR30" s="43">
        <v>18.340120480870773</v>
      </c>
      <c r="AS30" s="43">
        <v>19.126191505177854</v>
      </c>
      <c r="AT30" s="43">
        <v>19.910112360150737</v>
      </c>
      <c r="AU30" s="43">
        <v>19.36485029724453</v>
      </c>
      <c r="AV30" s="43">
        <v>19.367759111090557</v>
      </c>
      <c r="AW30" s="43"/>
      <c r="AX30" s="43">
        <v>19.482344189800628</v>
      </c>
      <c r="AY30" s="43">
        <v>20.117023896318518</v>
      </c>
      <c r="AZ30" s="43">
        <v>19.329281477411666</v>
      </c>
      <c r="BA30" s="43">
        <v>19.601961771350524</v>
      </c>
      <c r="BB30" s="43">
        <v>19.197026609656415</v>
      </c>
      <c r="BC30" s="43">
        <v>18.205494519468907</v>
      </c>
      <c r="BD30" s="43">
        <v>20.560860486864218</v>
      </c>
      <c r="BE30" s="43">
        <v>19.07572175975692</v>
      </c>
      <c r="BF30" s="43">
        <v>19.491704481756081</v>
      </c>
      <c r="BG30" s="43">
        <v>16.518553471857601</v>
      </c>
      <c r="BH30" s="43">
        <v>19.577396051035748</v>
      </c>
      <c r="BI30" s="43">
        <v>19.471267153970022</v>
      </c>
      <c r="BJ30" s="43">
        <v>19.188980947980525</v>
      </c>
      <c r="BK30" s="43">
        <v>19.923950757954412</v>
      </c>
      <c r="BL30" s="43">
        <v>16.47704537651844</v>
      </c>
      <c r="BM30" s="43">
        <v>16.243129162601967</v>
      </c>
      <c r="BN30" s="43">
        <v>12.490314042505037</v>
      </c>
      <c r="BO30" s="43">
        <v>16.59555472453977</v>
      </c>
      <c r="BP30" s="43">
        <v>12.319158119247575</v>
      </c>
      <c r="BQ30" s="43">
        <v>12.87294778921442</v>
      </c>
      <c r="BR30" s="43">
        <v>17.221003352153307</v>
      </c>
      <c r="BS30" s="43">
        <v>17.127675176328221</v>
      </c>
      <c r="BT30" s="43">
        <v>16.700065870415109</v>
      </c>
      <c r="BU30" s="43">
        <v>16.689397205653236</v>
      </c>
      <c r="BV30" s="43">
        <v>15.42578353967167</v>
      </c>
      <c r="BW30" s="43">
        <v>15.377899064255869</v>
      </c>
      <c r="BX30" s="43">
        <v>15.399948764076138</v>
      </c>
      <c r="BY30" s="43">
        <v>19.878289892338529</v>
      </c>
      <c r="BZ30" s="43">
        <v>19.693638797288269</v>
      </c>
      <c r="CA30" s="43">
        <v>20.122227438409634</v>
      </c>
      <c r="CB30" s="43">
        <v>19.610726473520863</v>
      </c>
      <c r="CC30" s="43">
        <v>19.302135511194265</v>
      </c>
      <c r="CD30" s="43">
        <v>19.924887516972579</v>
      </c>
      <c r="CE30" s="43">
        <v>18.385242618235729</v>
      </c>
      <c r="CF30" s="43">
        <v>18.121880264525089</v>
      </c>
      <c r="CG30" s="43">
        <v>17.435773507377661</v>
      </c>
      <c r="CH30" s="43">
        <v>18.555047321965034</v>
      </c>
      <c r="CI30" s="43">
        <v>15.234716099662885</v>
      </c>
      <c r="CJ30" s="43">
        <v>15.165931110931895</v>
      </c>
      <c r="CK30" s="43">
        <v>14.265165374153597</v>
      </c>
      <c r="CL30" s="43">
        <v>14.773670556155819</v>
      </c>
      <c r="CM30" s="43">
        <v>14.813665488143771</v>
      </c>
      <c r="CN30" s="43">
        <v>16.84979288221129</v>
      </c>
      <c r="CO30" s="43">
        <v>15.142571509360538</v>
      </c>
      <c r="CP30" s="43">
        <v>18.662276721272203</v>
      </c>
      <c r="CQ30" s="43">
        <v>16.768026806006706</v>
      </c>
      <c r="CR30" s="43">
        <v>16.493834830401536</v>
      </c>
      <c r="CS30" s="43">
        <v>15.532802020578181</v>
      </c>
      <c r="CT30" s="43">
        <v>15.284913353852522</v>
      </c>
      <c r="CU30" s="43">
        <v>14.734348695953052</v>
      </c>
      <c r="CV30" s="43">
        <v>13.393091458067847</v>
      </c>
      <c r="CW30" s="43">
        <v>13.401324953741296</v>
      </c>
      <c r="CX30" s="43">
        <v>13.34789035857248</v>
      </c>
      <c r="CY30" s="43">
        <v>14.466655255370188</v>
      </c>
      <c r="CZ30" s="43">
        <v>13.461034511891887</v>
      </c>
      <c r="DA30" s="43">
        <v>13.065288406387145</v>
      </c>
      <c r="DB30" s="43">
        <v>13.064095323532973</v>
      </c>
      <c r="DC30" s="43">
        <v>13.022688324415189</v>
      </c>
      <c r="DD30" s="43">
        <v>12.27105516044907</v>
      </c>
      <c r="DE30" s="43">
        <v>12.593742437456147</v>
      </c>
      <c r="DF30" s="43">
        <v>10.13869991518491</v>
      </c>
      <c r="DG30" s="43">
        <v>11.888073973890398</v>
      </c>
      <c r="DH30" s="43">
        <v>12.578607061688471</v>
      </c>
      <c r="DI30" s="43">
        <v>13.451604188426487</v>
      </c>
      <c r="DJ30" s="43">
        <v>13.485810517854464</v>
      </c>
      <c r="DK30" s="43">
        <v>12.147055716820592</v>
      </c>
      <c r="DL30" s="43">
        <v>12.18566950787565</v>
      </c>
      <c r="DM30" s="43">
        <v>11.871275646378958</v>
      </c>
      <c r="DN30" s="43">
        <v>10.297072342601618</v>
      </c>
      <c r="DO30" s="43">
        <v>12.858612002521012</v>
      </c>
      <c r="DP30" s="43">
        <v>12.946962174290569</v>
      </c>
      <c r="DQ30" s="43">
        <v>12.865063847306914</v>
      </c>
      <c r="DR30" s="43">
        <v>13.192088962033699</v>
      </c>
      <c r="DS30" s="43">
        <v>13.104860344917698</v>
      </c>
      <c r="DT30" s="43">
        <v>13.148030032626654</v>
      </c>
      <c r="DU30" s="43">
        <v>12.197339501200398</v>
      </c>
      <c r="DV30" s="43">
        <v>12.24</v>
      </c>
      <c r="DW30" s="43">
        <v>12.107582077393644</v>
      </c>
      <c r="DX30" s="43">
        <v>12.192577409356028</v>
      </c>
      <c r="DY30" s="43">
        <v>10.301918933729233</v>
      </c>
      <c r="DZ30" s="43">
        <v>11.703665785148734</v>
      </c>
      <c r="EA30" s="43">
        <v>10.556711176094117</v>
      </c>
      <c r="EB30" s="43">
        <v>12.17520397311271</v>
      </c>
      <c r="EC30" s="43">
        <v>12.454402795544492</v>
      </c>
      <c r="ED30" s="43">
        <v>11.924794638670042</v>
      </c>
      <c r="EE30" s="43">
        <v>11.55258019373456</v>
      </c>
      <c r="EF30" s="43">
        <v>12.847874610366919</v>
      </c>
      <c r="EG30" s="43">
        <v>13.230187165903269</v>
      </c>
      <c r="EH30" s="43">
        <v>13.182234106419884</v>
      </c>
      <c r="EI30" s="43">
        <v>13.258531967279186</v>
      </c>
      <c r="EJ30" s="43">
        <v>13.147404267691996</v>
      </c>
      <c r="EK30" s="43">
        <v>12.639120151278023</v>
      </c>
      <c r="EL30" s="43">
        <v>3.8081193804896873</v>
      </c>
      <c r="EM30" s="43">
        <v>3.3925280246519409</v>
      </c>
      <c r="EN30" s="43">
        <v>6.2301346470701082</v>
      </c>
      <c r="EO30" s="43">
        <v>6.4403833755852826</v>
      </c>
      <c r="EP30" s="43">
        <v>6.3391277217599411</v>
      </c>
      <c r="EQ30" s="43">
        <v>3.0411543947701314</v>
      </c>
      <c r="ER30" s="43">
        <v>3.0584438088922759</v>
      </c>
      <c r="ES30" s="43">
        <v>2.7999032854363031</v>
      </c>
      <c r="ET30" s="43">
        <v>2.7867318372792704</v>
      </c>
      <c r="EU30" s="43">
        <v>2.5345545367591473</v>
      </c>
      <c r="EV30" s="43">
        <v>2.3459817088964048</v>
      </c>
      <c r="EW30" s="43">
        <v>2.2071454794595797</v>
      </c>
      <c r="EX30" s="43">
        <v>4.1834321822948706</v>
      </c>
      <c r="EY30" s="43">
        <v>5.2708577214798753</v>
      </c>
      <c r="EZ30" s="43">
        <v>5.2278262128125643</v>
      </c>
      <c r="FA30" s="43">
        <v>5.2644156357022354</v>
      </c>
      <c r="FB30" s="43">
        <v>5.2975098473864595</v>
      </c>
      <c r="FC30" s="43">
        <v>5.1258303612793918</v>
      </c>
      <c r="FD30" s="43">
        <v>5.0278172381948583</v>
      </c>
      <c r="FE30" s="48">
        <v>4.9966571543696592</v>
      </c>
      <c r="FF30" s="48">
        <v>4.7245604033104209</v>
      </c>
      <c r="FG30" s="48">
        <v>4.9402827270807803</v>
      </c>
      <c r="FH30" s="48">
        <v>5.4375185339671459</v>
      </c>
      <c r="FI30" s="48">
        <v>5.7201647421828987</v>
      </c>
      <c r="FJ30" s="48">
        <v>5.8547795402750786</v>
      </c>
      <c r="FK30" s="48">
        <v>6.0494408821712247</v>
      </c>
      <c r="FL30" s="48">
        <v>5.6328613186229184</v>
      </c>
      <c r="FM30" s="48">
        <v>5.2034086653197624</v>
      </c>
      <c r="FN30" s="48">
        <v>4.8743490391277584</v>
      </c>
      <c r="FO30" s="48">
        <v>5.0157194967563576</v>
      </c>
      <c r="FP30" s="48">
        <v>4.6916304640659643</v>
      </c>
      <c r="FQ30" s="48">
        <v>4.4739291646282284</v>
      </c>
      <c r="FR30" s="48">
        <v>4.3269280917452937</v>
      </c>
      <c r="FS30" s="48">
        <v>5.9553549382152786</v>
      </c>
      <c r="FT30" s="48">
        <v>5.962672148171011</v>
      </c>
      <c r="FU30" s="47">
        <v>5.8322255809433159</v>
      </c>
      <c r="FV30" s="47">
        <v>6.1023470301128651</v>
      </c>
      <c r="FW30" s="47">
        <v>6.1518743377242311</v>
      </c>
      <c r="FX30" s="47">
        <v>6.0285559238595772</v>
      </c>
      <c r="FY30" s="47">
        <v>6.0261476712795394</v>
      </c>
      <c r="FZ30" s="48">
        <v>5.9908282421997594</v>
      </c>
      <c r="GA30" s="48">
        <v>6.3716643797200723</v>
      </c>
      <c r="GB30" s="48">
        <v>7.3614202160706901</v>
      </c>
      <c r="GC30" s="48">
        <v>7.2529496698305289</v>
      </c>
      <c r="GD30" s="48">
        <v>7.4364290987674009</v>
      </c>
      <c r="GE30" s="48">
        <v>7.4641868311083677</v>
      </c>
      <c r="GF30" s="48">
        <v>4.6851882733833916</v>
      </c>
      <c r="GG30" s="48">
        <v>3.8479571445092948</v>
      </c>
      <c r="GH30" s="48">
        <v>5.7917956515631701</v>
      </c>
      <c r="GI30" s="48">
        <v>6.3297316937026498</v>
      </c>
      <c r="GJ30" s="48">
        <v>6.2658447329586</v>
      </c>
      <c r="GK30" s="48">
        <v>6.3970472335152397</v>
      </c>
      <c r="GL30" s="48">
        <v>6.1754340410269801</v>
      </c>
      <c r="GM30" s="48">
        <v>6.3838120074231304</v>
      </c>
      <c r="GN30" s="48">
        <v>6.4576006031649102</v>
      </c>
      <c r="GO30" s="48">
        <v>6.5269770034503001</v>
      </c>
      <c r="GP30" s="48">
        <v>6.2261011073902397</v>
      </c>
      <c r="GQ30" s="48">
        <v>6.2261011073902397</v>
      </c>
      <c r="GR30" s="48">
        <v>5.94400194925388</v>
      </c>
      <c r="GS30" s="48">
        <v>5.3778264084614902</v>
      </c>
      <c r="GT30" s="48">
        <v>5.3320602610269097</v>
      </c>
      <c r="GU30" s="48">
        <v>5.2556052764605301</v>
      </c>
      <c r="GV30" s="48">
        <v>5.2096705325901</v>
      </c>
      <c r="GW30" s="48">
        <v>4.6988652787097598</v>
      </c>
      <c r="GX30" s="48">
        <v>4.7436701289720098</v>
      </c>
      <c r="GY30" s="48">
        <v>5.1664474916923098</v>
      </c>
      <c r="GZ30" s="48">
        <v>5.5749806480007704</v>
      </c>
      <c r="HA30" s="48">
        <v>5.3069211711990496</v>
      </c>
      <c r="HB30" s="48">
        <v>5.2760646812051402</v>
      </c>
      <c r="HC30" s="48">
        <v>5.3182980704059499</v>
      </c>
      <c r="HD30" s="48">
        <v>5.2668571243472204</v>
      </c>
      <c r="HE30" s="48">
        <v>5.2054393214836798</v>
      </c>
      <c r="HF30" s="48">
        <v>4.2505758095672599</v>
      </c>
      <c r="HG30" s="48">
        <v>4.0079120592377304</v>
      </c>
      <c r="HH30" s="48">
        <v>4.4505490929043496</v>
      </c>
      <c r="HI30" s="48">
        <v>4.4188372235435303</v>
      </c>
      <c r="HJ30" s="48">
        <v>4.1942301007987099</v>
      </c>
      <c r="HK30" s="48">
        <v>4.1776559803668496</v>
      </c>
      <c r="HL30" s="48">
        <v>4.6036288174000299</v>
      </c>
      <c r="HM30" s="48">
        <v>4.7998461628996001</v>
      </c>
      <c r="HN30" s="48">
        <v>5.1343564775720498</v>
      </c>
      <c r="HO30" s="48">
        <v>5.1051239552410701</v>
      </c>
      <c r="HP30" s="48">
        <v>5.0678040277065204</v>
      </c>
      <c r="HQ30" s="48">
        <v>5.4922829773856501</v>
      </c>
      <c r="HR30" s="48">
        <v>5.7030497099444997</v>
      </c>
      <c r="HS30" s="48">
        <v>5.9834480930324299</v>
      </c>
      <c r="HT30" s="48">
        <v>6.04561622624386</v>
      </c>
      <c r="HU30" s="48">
        <v>6.1457093346946801</v>
      </c>
      <c r="HV30" s="48">
        <v>6.2699473770174201</v>
      </c>
      <c r="HW30" s="48">
        <v>5.87332977028972</v>
      </c>
      <c r="HX30" s="48">
        <v>5.5174056815798096</v>
      </c>
      <c r="HY30" s="48">
        <v>5.6023683166111304</v>
      </c>
      <c r="HZ30" s="48">
        <v>5.5565931407502998</v>
      </c>
      <c r="IA30" s="48">
        <v>5.3375642492208</v>
      </c>
    </row>
    <row r="31" spans="1:451">
      <c r="A31" s="12" t="s">
        <v>287</v>
      </c>
      <c r="B31" s="33" t="s">
        <v>226</v>
      </c>
      <c r="C31" s="12" t="s">
        <v>287</v>
      </c>
      <c r="D31" s="43">
        <v>19.239999999999998</v>
      </c>
      <c r="E31" s="43">
        <v>19.52</v>
      </c>
      <c r="F31" s="43">
        <v>19.5</v>
      </c>
      <c r="G31" s="43">
        <v>19.27</v>
      </c>
      <c r="H31" s="43">
        <v>19.25</v>
      </c>
      <c r="I31" s="43">
        <v>19.21</v>
      </c>
      <c r="J31" s="43">
        <v>19.02</v>
      </c>
      <c r="K31" s="43">
        <v>19.27</v>
      </c>
      <c r="L31" s="43">
        <v>19.14</v>
      </c>
      <c r="M31" s="43">
        <v>19.170000000000002</v>
      </c>
      <c r="N31" s="43">
        <v>18.91745194842137</v>
      </c>
      <c r="O31" s="43">
        <v>18.444577336591831</v>
      </c>
      <c r="P31" s="43">
        <v>18.884729630720226</v>
      </c>
      <c r="Q31" s="43">
        <v>19.336790448127918</v>
      </c>
      <c r="R31" s="43">
        <v>19.449647408795933</v>
      </c>
      <c r="S31" s="43">
        <v>20.402674490672137</v>
      </c>
      <c r="T31" s="43">
        <v>20.128854437265478</v>
      </c>
      <c r="U31" s="43">
        <v>19.871561388748852</v>
      </c>
      <c r="V31" s="43">
        <v>19.516280153067711</v>
      </c>
      <c r="W31" s="43">
        <v>19.64960383945963</v>
      </c>
      <c r="X31" s="43">
        <v>19.658158022597679</v>
      </c>
      <c r="Y31" s="43">
        <v>19.372628494000377</v>
      </c>
      <c r="Z31" s="43">
        <v>19.481355469935121</v>
      </c>
      <c r="AA31" s="43">
        <v>18.624009323462136</v>
      </c>
      <c r="AB31" s="43">
        <v>18.974321355985172</v>
      </c>
      <c r="AC31" s="43">
        <v>19.481609377067475</v>
      </c>
      <c r="AD31" s="43">
        <v>17.861750031687794</v>
      </c>
      <c r="AE31" s="43">
        <v>18.479915384270122</v>
      </c>
      <c r="AF31" s="43">
        <v>19.561208516001891</v>
      </c>
      <c r="AG31" s="43">
        <v>19.716409238440566</v>
      </c>
      <c r="AH31" s="43">
        <v>19.938207063433595</v>
      </c>
      <c r="AI31" s="43">
        <v>20.211161834627731</v>
      </c>
      <c r="AJ31" s="43">
        <v>20.194662737225489</v>
      </c>
      <c r="AK31" s="43">
        <v>20.452215706588824</v>
      </c>
      <c r="AL31" s="43">
        <v>20.208046660849231</v>
      </c>
      <c r="AM31" s="43">
        <v>20.742908591236379</v>
      </c>
      <c r="AN31" s="43">
        <v>20.540148846949325</v>
      </c>
      <c r="AO31" s="43">
        <v>20.674145299241982</v>
      </c>
      <c r="AP31" s="43">
        <v>20.483332138903847</v>
      </c>
      <c r="AQ31" s="43">
        <v>20.572694390100263</v>
      </c>
      <c r="AR31" s="43">
        <v>20.269722795807017</v>
      </c>
      <c r="AS31" s="43">
        <v>20.661398980940273</v>
      </c>
      <c r="AT31" s="43">
        <v>20.649191407989989</v>
      </c>
      <c r="AU31" s="43">
        <v>20.605017994535398</v>
      </c>
      <c r="AV31" s="43">
        <v>20.852993288252115</v>
      </c>
      <c r="AW31" s="43">
        <v>20.610389525196613</v>
      </c>
      <c r="AX31" s="43">
        <v>20.702318399781777</v>
      </c>
      <c r="AY31" s="43">
        <v>20.935390036344241</v>
      </c>
      <c r="AZ31" s="43">
        <v>20.46304164477662</v>
      </c>
      <c r="BA31" s="43">
        <v>20.640913063873509</v>
      </c>
      <c r="BB31" s="43">
        <v>19.427120738098601</v>
      </c>
      <c r="BC31" s="43">
        <v>20.775210091563682</v>
      </c>
      <c r="BD31" s="43">
        <v>22.126219183105068</v>
      </c>
      <c r="BE31" s="43">
        <v>20.058291652013899</v>
      </c>
      <c r="BF31" s="43">
        <v>22.859475035989149</v>
      </c>
      <c r="BG31" s="43">
        <v>21.229140453549991</v>
      </c>
      <c r="BH31" s="43">
        <v>20.713922558766271</v>
      </c>
      <c r="BI31" s="43">
        <v>19.232568295579423</v>
      </c>
      <c r="BJ31" s="43">
        <v>20.074990453465563</v>
      </c>
      <c r="BK31" s="43">
        <v>22.736001000816373</v>
      </c>
      <c r="BL31" s="43">
        <v>21.056959473220232</v>
      </c>
      <c r="BM31" s="43">
        <v>21.414859598768405</v>
      </c>
      <c r="BN31" s="43">
        <v>19.357988025563813</v>
      </c>
      <c r="BO31" s="43">
        <v>21.522711612698476</v>
      </c>
      <c r="BP31" s="43">
        <v>19.418691701056702</v>
      </c>
      <c r="BQ31" s="43">
        <v>19.486703630236214</v>
      </c>
      <c r="BR31" s="43">
        <v>21.265766416658757</v>
      </c>
      <c r="BS31" s="43">
        <v>21.345766084708487</v>
      </c>
      <c r="BT31" s="43">
        <v>21.391147246477402</v>
      </c>
      <c r="BU31" s="43">
        <v>20.60233915154156</v>
      </c>
      <c r="BV31" s="43">
        <v>18.834263199396482</v>
      </c>
      <c r="BW31" s="43">
        <v>19.15625812784636</v>
      </c>
      <c r="BX31" s="43">
        <v>19.112791506776695</v>
      </c>
      <c r="BY31" s="43">
        <v>20.599056359408305</v>
      </c>
      <c r="BZ31" s="43">
        <v>18.911681385392882</v>
      </c>
      <c r="CA31" s="43">
        <v>18.860345290848088</v>
      </c>
      <c r="CB31" s="43">
        <v>17.387938975906017</v>
      </c>
      <c r="CC31" s="43">
        <v>17.69518437627924</v>
      </c>
      <c r="CD31" s="43">
        <v>17.562095360500674</v>
      </c>
      <c r="CE31" s="43">
        <v>18.088432441911479</v>
      </c>
      <c r="CF31" s="43">
        <v>17.453242193642723</v>
      </c>
      <c r="CG31" s="43">
        <v>17.324368612643788</v>
      </c>
      <c r="CH31" s="43">
        <v>17.089285270747485</v>
      </c>
      <c r="CI31" s="43">
        <v>17.410084224174536</v>
      </c>
      <c r="CJ31" s="43">
        <v>17.554458863325788</v>
      </c>
      <c r="CK31" s="43">
        <v>18.233351313546272</v>
      </c>
      <c r="CL31" s="43">
        <v>18.221304575645576</v>
      </c>
      <c r="CM31" s="43">
        <v>18.422231802313721</v>
      </c>
      <c r="CN31" s="43">
        <v>17.464695218839594</v>
      </c>
      <c r="CO31" s="43">
        <v>18.111961000823936</v>
      </c>
      <c r="CP31" s="43">
        <v>17.79080968966699</v>
      </c>
      <c r="CQ31" s="43">
        <v>17.258728161477247</v>
      </c>
      <c r="CR31" s="43">
        <v>17.057897302877858</v>
      </c>
      <c r="CS31" s="43">
        <v>17.323137839530958</v>
      </c>
      <c r="CT31" s="43">
        <v>17.021180456495877</v>
      </c>
      <c r="CU31" s="43">
        <v>16.629577505361318</v>
      </c>
      <c r="CV31" s="43">
        <v>17.066402575729974</v>
      </c>
      <c r="CW31" s="43">
        <v>18.661020158850775</v>
      </c>
      <c r="CX31" s="43">
        <v>18.856998632535394</v>
      </c>
      <c r="CY31" s="43">
        <v>18.935481552281679</v>
      </c>
      <c r="CZ31" s="43">
        <v>18.897059259161928</v>
      </c>
      <c r="DA31" s="43">
        <v>18.659256842732553</v>
      </c>
      <c r="DB31" s="43">
        <v>15.775809986250307</v>
      </c>
      <c r="DC31" s="43">
        <v>15.276346479790117</v>
      </c>
      <c r="DD31" s="43">
        <v>16.233080181401199</v>
      </c>
      <c r="DE31" s="43">
        <v>15.277050972985217</v>
      </c>
      <c r="DF31" s="43">
        <v>15.530043107010886</v>
      </c>
      <c r="DG31" s="43">
        <v>15.671349171676509</v>
      </c>
      <c r="DH31" s="43">
        <v>15.640244368066767</v>
      </c>
      <c r="DI31" s="43">
        <v>16.38048423032329</v>
      </c>
      <c r="DJ31" s="43">
        <v>16.505929077668128</v>
      </c>
      <c r="DK31" s="43">
        <v>15.749764378867434</v>
      </c>
      <c r="DL31" s="43">
        <v>16.038689707679765</v>
      </c>
      <c r="DM31" s="43">
        <v>14.411900822181506</v>
      </c>
      <c r="DN31" s="43">
        <v>13.568507117367998</v>
      </c>
      <c r="DO31" s="43">
        <v>15.016345123547193</v>
      </c>
      <c r="DP31" s="43">
        <v>15.099792268515621</v>
      </c>
      <c r="DQ31" s="43">
        <v>12.909530376394201</v>
      </c>
      <c r="DR31" s="43">
        <v>13.039861141331549</v>
      </c>
      <c r="DS31" s="43">
        <v>12.71117981083075</v>
      </c>
      <c r="DT31" s="43">
        <v>12.71561975094099</v>
      </c>
      <c r="DU31" s="43">
        <v>11.038273103713749</v>
      </c>
      <c r="DV31" s="43">
        <v>10.97</v>
      </c>
      <c r="DW31" s="43">
        <v>10.867749849981893</v>
      </c>
      <c r="DX31" s="43">
        <v>10.539431799486795</v>
      </c>
      <c r="DY31" s="43">
        <v>12.044659287306192</v>
      </c>
      <c r="DZ31" s="43">
        <v>10.573488357852302</v>
      </c>
      <c r="EA31" s="43">
        <v>10.679737913588539</v>
      </c>
      <c r="EB31" s="43">
        <v>11.035722526061488</v>
      </c>
      <c r="EC31" s="43">
        <v>12.23012467365697</v>
      </c>
      <c r="ED31" s="43">
        <v>11.29215930032759</v>
      </c>
      <c r="EE31" s="43">
        <v>12.012039881503151</v>
      </c>
      <c r="EF31" s="43">
        <v>14.33</v>
      </c>
      <c r="EG31" s="43">
        <v>9.9103325719387065</v>
      </c>
      <c r="EH31" s="43">
        <v>9.8466350197557908</v>
      </c>
      <c r="EI31" s="43">
        <v>10.38904144555994</v>
      </c>
      <c r="EJ31" s="43">
        <v>10.357359795570776</v>
      </c>
      <c r="EK31" s="43">
        <v>10.362009329221703</v>
      </c>
      <c r="EL31" s="43">
        <v>8.9671191659083842</v>
      </c>
      <c r="EM31" s="43">
        <v>8.4758460868041929</v>
      </c>
      <c r="EN31" s="43">
        <v>8.9843024381338772</v>
      </c>
      <c r="EO31" s="43">
        <v>8.9345259248342419</v>
      </c>
      <c r="EP31" s="43">
        <v>9.3959872559914075</v>
      </c>
      <c r="EQ31" s="43">
        <v>8.3288074156443148</v>
      </c>
      <c r="ER31" s="43">
        <v>6.9032014389155902</v>
      </c>
      <c r="ES31" s="43">
        <v>6.9624689030796256</v>
      </c>
      <c r="ET31" s="43">
        <v>6.6483605425228101</v>
      </c>
      <c r="EU31" s="43">
        <v>6.7081816055193464</v>
      </c>
      <c r="EV31" s="43">
        <v>6.3372715299919919</v>
      </c>
      <c r="EW31" s="43">
        <v>6.1717924204633592</v>
      </c>
      <c r="EX31" s="43">
        <v>6.9389173546900276</v>
      </c>
      <c r="EY31" s="43">
        <v>7.4865074966617469</v>
      </c>
      <c r="EZ31" s="43">
        <v>7.4058556794270123</v>
      </c>
      <c r="FA31" s="43">
        <v>7.6883897521335562</v>
      </c>
      <c r="FB31" s="43">
        <v>6.8792233690854898</v>
      </c>
      <c r="FC31" s="43">
        <v>8.0740182164027878</v>
      </c>
      <c r="FD31" s="43">
        <v>8.0459519268236033</v>
      </c>
      <c r="FE31" s="48">
        <v>7.7543250905681012</v>
      </c>
      <c r="FF31" s="48">
        <v>8.2578384234804005</v>
      </c>
      <c r="FG31" s="48">
        <v>8.4540729101344461</v>
      </c>
      <c r="FH31" s="48">
        <v>8.3547797929859815</v>
      </c>
      <c r="FI31" s="48">
        <v>8.392379897982897</v>
      </c>
      <c r="FJ31" s="48">
        <v>8.0892169420112445</v>
      </c>
      <c r="FK31" s="48">
        <v>8.0407705324930099</v>
      </c>
      <c r="FL31" s="48">
        <v>8.0029537041721373</v>
      </c>
      <c r="FM31" s="48">
        <v>8.0330662883414998</v>
      </c>
      <c r="FN31" s="48">
        <v>7.8241977425188942</v>
      </c>
      <c r="FO31" s="48">
        <v>7.5816735068657923</v>
      </c>
      <c r="FP31" s="48">
        <v>7.598120304296339</v>
      </c>
      <c r="FQ31" s="48">
        <v>7.5462821873520687</v>
      </c>
      <c r="FR31" s="48">
        <v>6.5097591010289797</v>
      </c>
      <c r="FS31" s="48">
        <v>6.1945060496210829</v>
      </c>
      <c r="FT31" s="48">
        <v>6.1130448658924106</v>
      </c>
      <c r="FU31" s="48">
        <v>6.0397319469306119</v>
      </c>
      <c r="FV31" s="47">
        <v>5.7783100662488218</v>
      </c>
      <c r="FW31" s="47">
        <v>5.8037739528265435</v>
      </c>
      <c r="FX31" s="47">
        <v>5.5252175587980066</v>
      </c>
      <c r="FY31" s="47">
        <v>5.4774464256449216</v>
      </c>
      <c r="FZ31" s="47">
        <v>5.588145970386531</v>
      </c>
      <c r="GA31" s="48">
        <v>5.5733781289352411</v>
      </c>
      <c r="GB31" s="48">
        <v>5.5022167547232641</v>
      </c>
      <c r="GC31" s="48">
        <v>5.5603641778397392</v>
      </c>
      <c r="GD31" s="48">
        <v>5.8913203766195119</v>
      </c>
      <c r="GE31" s="48">
        <v>5.871581924644909</v>
      </c>
      <c r="GF31" s="48">
        <v>5.9455184637703375</v>
      </c>
      <c r="GG31" s="48">
        <v>5.8245756082413136</v>
      </c>
      <c r="GH31" s="48">
        <v>4.8611329459780297</v>
      </c>
      <c r="GI31" s="48">
        <v>4.7961738667740699</v>
      </c>
      <c r="GJ31" s="48">
        <v>4.7808480633229999</v>
      </c>
      <c r="GK31" s="48">
        <v>4.7651970349643102</v>
      </c>
      <c r="GL31" s="48">
        <v>4.9011370025043997</v>
      </c>
      <c r="GM31" s="48">
        <v>4.8609554058245896</v>
      </c>
      <c r="GN31" s="48">
        <v>4.8290329447217299</v>
      </c>
      <c r="GO31" s="48">
        <v>5.6405511197795102</v>
      </c>
      <c r="GP31" s="48">
        <v>5.6372111784148498</v>
      </c>
      <c r="GQ31" s="48">
        <v>5.6372111784148498</v>
      </c>
      <c r="GR31" s="48">
        <v>5.6629809430117204</v>
      </c>
      <c r="GS31" s="48">
        <v>5.6484351318915103</v>
      </c>
      <c r="GT31" s="48">
        <v>5.5136736179646002</v>
      </c>
      <c r="GU31" s="48">
        <v>5.4588240045941996</v>
      </c>
      <c r="GV31" s="48">
        <v>5.4779150829329204</v>
      </c>
      <c r="GW31" s="48">
        <v>5.6408880345962196</v>
      </c>
      <c r="GX31" s="48">
        <v>5.4539778830307402</v>
      </c>
      <c r="GY31" s="48">
        <v>5.2420532461717899</v>
      </c>
      <c r="GZ31" s="48">
        <v>4.8013668379562304</v>
      </c>
      <c r="HA31" s="48">
        <v>4.7421154444631703</v>
      </c>
      <c r="HB31" s="48">
        <v>4.6007785350649302</v>
      </c>
      <c r="HC31" s="48">
        <v>4.5528631520827396</v>
      </c>
      <c r="HD31" s="48">
        <v>4.6087963497125699</v>
      </c>
      <c r="HE31" s="48">
        <v>4.6228926284989003</v>
      </c>
      <c r="HF31" s="48">
        <v>4.6314035617615597</v>
      </c>
      <c r="HG31" s="48">
        <v>4.5591756527246901</v>
      </c>
      <c r="HH31" s="48">
        <v>4.5200812195231101</v>
      </c>
      <c r="HI31" s="48">
        <v>4.5556289030237203</v>
      </c>
      <c r="HJ31" s="48">
        <v>4.5925839294194697</v>
      </c>
      <c r="HK31" s="48">
        <v>4.7538585616222004</v>
      </c>
      <c r="HL31" s="48">
        <v>5.1064403708764701</v>
      </c>
      <c r="HM31" s="48">
        <v>5.1845467837535999</v>
      </c>
      <c r="HN31" s="48">
        <v>5.18863633801252</v>
      </c>
      <c r="HO31" s="48">
        <v>5.2463349362553302</v>
      </c>
      <c r="HP31" s="48">
        <v>5.26054447479535</v>
      </c>
      <c r="HQ31" s="48">
        <v>5.0588556261311304</v>
      </c>
      <c r="HR31" s="48">
        <v>5.0004503673436904</v>
      </c>
      <c r="HS31" s="48">
        <v>5.1520608932825303</v>
      </c>
      <c r="HT31" s="48">
        <v>5.1782852950316203</v>
      </c>
      <c r="HU31" s="48">
        <v>5.3362904642040903</v>
      </c>
      <c r="HV31" s="48">
        <v>5.2634720200449197</v>
      </c>
      <c r="HW31" s="48">
        <v>5.3394573148889499</v>
      </c>
      <c r="HX31" s="48">
        <v>5.4544925328195797</v>
      </c>
      <c r="HY31" s="48">
        <v>5.5030704621083704</v>
      </c>
      <c r="HZ31" s="48">
        <v>5.5392456648572699</v>
      </c>
      <c r="IA31" s="48">
        <v>5.5096019522033801</v>
      </c>
    </row>
    <row r="32" spans="1:451">
      <c r="A32" s="12" t="s">
        <v>288</v>
      </c>
      <c r="B32" s="33" t="s">
        <v>227</v>
      </c>
      <c r="C32" s="12" t="s">
        <v>288</v>
      </c>
      <c r="D32" s="43">
        <v>19.53</v>
      </c>
      <c r="E32" s="43">
        <v>18.579999999999998</v>
      </c>
      <c r="F32" s="43">
        <v>18.670000000000002</v>
      </c>
      <c r="G32" s="43">
        <v>18.25</v>
      </c>
      <c r="H32" s="43">
        <v>18.36</v>
      </c>
      <c r="I32" s="43">
        <v>18.399999999999999</v>
      </c>
      <c r="J32" s="43">
        <v>18.52</v>
      </c>
      <c r="K32" s="43">
        <v>18.350000000000001</v>
      </c>
      <c r="L32" s="43">
        <v>18.440000000000001</v>
      </c>
      <c r="M32" s="43">
        <v>18.309999999999999</v>
      </c>
      <c r="N32" s="43">
        <v>17.959993174019647</v>
      </c>
      <c r="O32" s="43">
        <v>17.823041113775435</v>
      </c>
      <c r="P32" s="43">
        <v>17.912657104647774</v>
      </c>
      <c r="Q32" s="43">
        <v>17.31078483059953</v>
      </c>
      <c r="R32" s="43">
        <v>17.123234345919723</v>
      </c>
      <c r="S32" s="43">
        <v>17.524889075751542</v>
      </c>
      <c r="T32" s="43">
        <v>17.424537211708476</v>
      </c>
      <c r="U32" s="43">
        <v>16.951298029522963</v>
      </c>
      <c r="V32" s="43">
        <v>16.604389804147736</v>
      </c>
      <c r="W32" s="43">
        <v>16.515439961840094</v>
      </c>
      <c r="X32" s="43">
        <v>16.512212613777667</v>
      </c>
      <c r="Y32" s="43">
        <v>16.253407670842112</v>
      </c>
      <c r="Z32" s="43">
        <v>16.125455935613157</v>
      </c>
      <c r="AA32" s="43">
        <v>16.028460444930634</v>
      </c>
      <c r="AB32" s="43">
        <v>16.173388759178334</v>
      </c>
      <c r="AC32" s="43">
        <v>16.443519429993081</v>
      </c>
      <c r="AD32" s="43">
        <v>16.16095336536895</v>
      </c>
      <c r="AE32" s="43">
        <v>16.181399041165164</v>
      </c>
      <c r="AF32" s="43">
        <v>15.371241097003972</v>
      </c>
      <c r="AG32" s="43">
        <v>15.341503116014053</v>
      </c>
      <c r="AH32" s="43">
        <v>15.285696510484389</v>
      </c>
      <c r="AI32" s="43">
        <v>15.265785114433495</v>
      </c>
      <c r="AJ32" s="43">
        <v>15.659362069916359</v>
      </c>
      <c r="AK32" s="43">
        <v>16.108251817143298</v>
      </c>
      <c r="AL32" s="43">
        <v>16.201294241200664</v>
      </c>
      <c r="AM32" s="43">
        <v>15.772046555863508</v>
      </c>
      <c r="AN32" s="43">
        <v>15.459430789983005</v>
      </c>
      <c r="AO32" s="43">
        <v>14.907378422099782</v>
      </c>
      <c r="AP32" s="43">
        <v>14.88998873330589</v>
      </c>
      <c r="AQ32" s="43">
        <v>15.478598083768913</v>
      </c>
      <c r="AR32" s="43">
        <v>17.232470079291875</v>
      </c>
      <c r="AS32" s="43">
        <v>15.230268731126186</v>
      </c>
      <c r="AT32" s="43">
        <v>12.250181250840591</v>
      </c>
      <c r="AU32" s="43">
        <v>12.295284226951651</v>
      </c>
      <c r="AV32" s="43">
        <v>12.644723520091139</v>
      </c>
      <c r="AW32" s="43">
        <v>12.918895879804616</v>
      </c>
      <c r="AX32" s="43">
        <v>12.954288297308491</v>
      </c>
      <c r="AY32" s="43">
        <v>12.904687040812748</v>
      </c>
      <c r="AZ32" s="43">
        <v>12.553443600184767</v>
      </c>
      <c r="BA32" s="43">
        <v>12.636742806930792</v>
      </c>
      <c r="BB32" s="43">
        <v>16.117593860743579</v>
      </c>
      <c r="BC32" s="43">
        <v>15.841404959609035</v>
      </c>
      <c r="BD32" s="43">
        <v>17.401301980554965</v>
      </c>
      <c r="BE32" s="43">
        <v>15.621751057997161</v>
      </c>
      <c r="BF32" s="43">
        <v>17.55435095035681</v>
      </c>
      <c r="BG32" s="43">
        <v>16.285583833253131</v>
      </c>
      <c r="BH32" s="43">
        <v>14.725577531199132</v>
      </c>
      <c r="BI32" s="43">
        <v>13.96767426413826</v>
      </c>
      <c r="BJ32" s="43">
        <v>14.84619843803115</v>
      </c>
      <c r="BK32" s="43">
        <v>17.12101687503127</v>
      </c>
      <c r="BL32" s="43">
        <v>15.020891547192154</v>
      </c>
      <c r="BM32" s="43">
        <v>15.898148580380521</v>
      </c>
      <c r="BN32" s="43">
        <v>14.07938350952916</v>
      </c>
      <c r="BO32" s="43">
        <v>15.766650207162959</v>
      </c>
      <c r="BP32" s="43">
        <v>14.078266670679223</v>
      </c>
      <c r="BQ32" s="43">
        <v>13.764987504057665</v>
      </c>
      <c r="BR32" s="43">
        <v>15.785614812105203</v>
      </c>
      <c r="BS32" s="43">
        <v>15.88636140523897</v>
      </c>
      <c r="BT32" s="43">
        <v>16.410701690870344</v>
      </c>
      <c r="BU32" s="43">
        <v>16.298949189804134</v>
      </c>
      <c r="BV32" s="43">
        <v>15.423493447351557</v>
      </c>
      <c r="BW32" s="43">
        <v>15.442934792616862</v>
      </c>
      <c r="BX32" s="43">
        <v>15.598309467218206</v>
      </c>
      <c r="BY32" s="43">
        <v>18.554802420606276</v>
      </c>
      <c r="BZ32" s="43">
        <v>18.570721166730266</v>
      </c>
      <c r="CA32" s="43">
        <v>18.735634381696844</v>
      </c>
      <c r="CB32" s="43">
        <v>18.408571714075471</v>
      </c>
      <c r="CC32" s="43">
        <v>18.703030168027194</v>
      </c>
      <c r="CD32" s="43">
        <v>18.712148058676654</v>
      </c>
      <c r="CE32" s="43">
        <v>18.587597887297736</v>
      </c>
      <c r="CF32" s="43">
        <v>18.437702252814784</v>
      </c>
      <c r="CG32" s="43">
        <v>18.491863572271726</v>
      </c>
      <c r="CH32" s="43">
        <v>18.420071286348641</v>
      </c>
      <c r="CI32" s="43">
        <v>18.406694964517165</v>
      </c>
      <c r="CJ32" s="43">
        <v>18.365328262866122</v>
      </c>
      <c r="CK32" s="43">
        <v>19.063257902157424</v>
      </c>
      <c r="CL32" s="43">
        <v>19.088696642773172</v>
      </c>
      <c r="CM32" s="43">
        <v>19.045534612441887</v>
      </c>
      <c r="CN32" s="43">
        <v>18.876308790915523</v>
      </c>
      <c r="CO32" s="43">
        <v>19.018617783050718</v>
      </c>
      <c r="CP32" s="43">
        <v>19.156483607045715</v>
      </c>
      <c r="CQ32" s="43">
        <v>18.773564198699017</v>
      </c>
      <c r="CR32" s="43">
        <v>18.841404013819513</v>
      </c>
      <c r="CS32" s="43">
        <v>18.881362155877365</v>
      </c>
      <c r="CT32" s="43">
        <v>19.1050232235098</v>
      </c>
      <c r="CU32" s="43">
        <v>19.160211462596216</v>
      </c>
      <c r="CV32" s="43">
        <v>19.365574136859465</v>
      </c>
      <c r="CW32" s="43">
        <v>19.432630956739104</v>
      </c>
      <c r="CX32" s="43">
        <v>19.043508715627532</v>
      </c>
      <c r="CY32" s="43">
        <v>18.796059301853052</v>
      </c>
      <c r="CZ32" s="43">
        <v>18.616341695936001</v>
      </c>
      <c r="DA32" s="43">
        <v>17.884787115046194</v>
      </c>
      <c r="DB32" s="43">
        <v>17.678823629492246</v>
      </c>
      <c r="DC32" s="43">
        <v>18.201070625702862</v>
      </c>
      <c r="DD32" s="43">
        <v>18.547336436598869</v>
      </c>
      <c r="DE32" s="43">
        <v>17.84209053810471</v>
      </c>
      <c r="DF32" s="43">
        <v>17.454740654811289</v>
      </c>
      <c r="DG32" s="43">
        <v>17.53646364773601</v>
      </c>
      <c r="DH32" s="43">
        <v>17.602954328079729</v>
      </c>
      <c r="DI32" s="43">
        <v>16.786035224506392</v>
      </c>
      <c r="DJ32" s="43">
        <v>16.967267010795197</v>
      </c>
      <c r="DK32" s="43">
        <v>17.012148745211142</v>
      </c>
      <c r="DL32" s="43">
        <v>17.454356960326777</v>
      </c>
      <c r="DM32" s="43">
        <v>17.799702363328159</v>
      </c>
      <c r="DN32" s="43">
        <v>18.307753431188178</v>
      </c>
      <c r="DO32" s="43">
        <v>18.277463501053401</v>
      </c>
      <c r="DP32" s="43">
        <v>18.215550440246705</v>
      </c>
      <c r="DQ32" s="43">
        <v>18.508436200412259</v>
      </c>
      <c r="DR32" s="43">
        <v>18.340092655731791</v>
      </c>
      <c r="DS32" s="43">
        <v>18.928588463905303</v>
      </c>
      <c r="DT32" s="43">
        <v>18.57217122047366</v>
      </c>
      <c r="DU32" s="43">
        <v>18.088428276900554</v>
      </c>
      <c r="DV32" s="43">
        <v>18.16</v>
      </c>
      <c r="DW32" s="43">
        <v>14.787214327575178</v>
      </c>
      <c r="DX32" s="43">
        <v>14.607176529390431</v>
      </c>
      <c r="DY32" s="43">
        <v>14.911481428754454</v>
      </c>
      <c r="DZ32" s="43">
        <v>14.961944843033594</v>
      </c>
      <c r="EA32" s="43">
        <v>14.912418520779742</v>
      </c>
      <c r="EB32" s="43">
        <v>14.924583738800674</v>
      </c>
      <c r="EC32" s="43">
        <v>14.608245609872148</v>
      </c>
      <c r="ED32" s="43">
        <v>14.41997012034456</v>
      </c>
      <c r="EE32" s="43">
        <v>15.32947687904786</v>
      </c>
      <c r="EF32" s="43">
        <v>15.286409269644313</v>
      </c>
      <c r="EG32" s="43">
        <v>14.292384345655433</v>
      </c>
      <c r="EH32" s="43">
        <v>16.939242005423367</v>
      </c>
      <c r="EI32" s="43">
        <v>16.856045199905495</v>
      </c>
      <c r="EJ32" s="43">
        <v>12.504565659388467</v>
      </c>
      <c r="EK32" s="43">
        <v>13.840398226838936</v>
      </c>
      <c r="EL32" s="43">
        <v>13.463357208219044</v>
      </c>
      <c r="EM32" s="43">
        <v>13.190943627741131</v>
      </c>
      <c r="EN32" s="43">
        <v>13.10670573236969</v>
      </c>
      <c r="EO32" s="43">
        <v>13.405181121945292</v>
      </c>
      <c r="EP32" s="43">
        <v>13.009470814335659</v>
      </c>
      <c r="EQ32" s="43">
        <v>12.89924602491601</v>
      </c>
      <c r="ER32" s="43">
        <v>13.303190366721465</v>
      </c>
      <c r="ES32" s="43">
        <v>12.391452878230538</v>
      </c>
      <c r="ET32" s="43">
        <v>13.00473533358136</v>
      </c>
      <c r="EU32" s="43">
        <v>12.86654753277158</v>
      </c>
      <c r="EV32" s="43">
        <v>12.748941416701889</v>
      </c>
      <c r="EW32" s="43">
        <v>12.441958906323585</v>
      </c>
      <c r="EX32" s="43">
        <v>12.497242864461205</v>
      </c>
      <c r="EY32" s="43">
        <v>12.591806100065424</v>
      </c>
      <c r="EZ32" s="43">
        <v>12.545581021987861</v>
      </c>
      <c r="FA32" s="43">
        <v>12.621753474146525</v>
      </c>
      <c r="FB32" s="43">
        <v>12.447686748941329</v>
      </c>
      <c r="FC32" s="43">
        <v>12.337018983219142</v>
      </c>
      <c r="FD32" s="43">
        <v>12.07328722122419</v>
      </c>
      <c r="FE32" s="48">
        <v>10.996635431287324</v>
      </c>
      <c r="FF32" s="48">
        <v>10.609479191376069</v>
      </c>
      <c r="FG32" s="48">
        <v>11.249164463696721</v>
      </c>
      <c r="FH32" s="48">
        <v>11.040237561156905</v>
      </c>
      <c r="FI32" s="48">
        <v>10.925567947769618</v>
      </c>
      <c r="FJ32" s="48">
        <v>10.773862162062622</v>
      </c>
      <c r="FK32" s="48">
        <v>10.570340658391558</v>
      </c>
      <c r="FL32" s="48">
        <v>10.022633736510523</v>
      </c>
      <c r="FM32" s="48">
        <v>10.240973512213827</v>
      </c>
      <c r="FN32" s="48">
        <v>9.8165358835852761</v>
      </c>
      <c r="FO32" s="48">
        <v>9.5898159690962359</v>
      </c>
      <c r="FP32" s="48">
        <v>9.4801185507929606</v>
      </c>
      <c r="FQ32" s="48">
        <v>9.0210319916215038</v>
      </c>
      <c r="FR32" s="48">
        <v>9.4724991450908131</v>
      </c>
      <c r="FS32" s="48">
        <v>9.3323292944626957</v>
      </c>
      <c r="FT32" s="48">
        <v>9.3219920367522295</v>
      </c>
      <c r="FU32" s="48">
        <v>8.6361870665161344</v>
      </c>
      <c r="FV32" s="48">
        <v>8.5264601010344396</v>
      </c>
      <c r="FW32" s="47">
        <v>8.1969980749804456</v>
      </c>
      <c r="FX32" s="47">
        <v>7.6064945875238488</v>
      </c>
      <c r="FY32" s="47">
        <v>7.5546641039688369</v>
      </c>
      <c r="FZ32" s="47">
        <v>7.4021692970801398</v>
      </c>
      <c r="GA32" s="47">
        <v>7.2592438781126845</v>
      </c>
      <c r="GB32" s="48">
        <v>7.0068086032374737</v>
      </c>
      <c r="GC32" s="48">
        <v>6.5907995451352761</v>
      </c>
      <c r="GD32" s="48">
        <v>6.7460661014601824</v>
      </c>
      <c r="GE32" s="48">
        <v>6.6672126967150112</v>
      </c>
      <c r="GF32" s="48">
        <v>6.7159305285202109</v>
      </c>
      <c r="GG32" s="48">
        <v>6.505705530684498</v>
      </c>
      <c r="GH32" s="48">
        <v>6.1411069500797399</v>
      </c>
      <c r="GI32" s="48">
        <v>5.9886451771521596</v>
      </c>
      <c r="GJ32" s="48">
        <v>5.6696982862818999</v>
      </c>
      <c r="GK32" s="48">
        <v>5.6549938175768704</v>
      </c>
      <c r="GL32" s="48">
        <v>5.62177076629286</v>
      </c>
      <c r="GM32" s="48">
        <v>5.3337454126781001</v>
      </c>
      <c r="GN32" s="48">
        <v>5.3827451650074796</v>
      </c>
      <c r="GO32" s="48">
        <v>4.8166879670132303</v>
      </c>
      <c r="GP32" s="48">
        <v>4.9091652120806701</v>
      </c>
      <c r="GQ32" s="48">
        <v>4.9091652120806701</v>
      </c>
      <c r="GR32" s="48">
        <v>4.8506951946114603</v>
      </c>
      <c r="GS32" s="48">
        <v>4.8407268636766396</v>
      </c>
      <c r="GT32" s="48">
        <v>4.9196822279512302</v>
      </c>
      <c r="GU32" s="48">
        <v>4.7726822664111701</v>
      </c>
      <c r="GV32" s="48">
        <v>4.8395060376212804</v>
      </c>
      <c r="GW32" s="48">
        <v>5.2019800102234104</v>
      </c>
      <c r="GX32" s="48">
        <v>4.6763755609017901</v>
      </c>
      <c r="GY32" s="48">
        <v>4.9156999774142802</v>
      </c>
      <c r="GZ32" s="48">
        <v>5.0198167812888004</v>
      </c>
      <c r="HA32" s="48">
        <v>5.0153287294531603</v>
      </c>
      <c r="HB32" s="48">
        <v>4.7508606410655796</v>
      </c>
      <c r="HC32" s="48">
        <v>4.7416344335959302</v>
      </c>
      <c r="HD32" s="48">
        <v>4.7085365667282604</v>
      </c>
      <c r="HE32" s="48">
        <v>4.6624687912756002</v>
      </c>
      <c r="HF32" s="48">
        <v>4.6697973993653497</v>
      </c>
      <c r="HG32" s="48">
        <v>4.6163411394304896</v>
      </c>
      <c r="HH32" s="48">
        <v>4.7384206228830701</v>
      </c>
      <c r="HI32" s="48">
        <v>4.7697980854597102</v>
      </c>
      <c r="HJ32" s="48">
        <v>4.8685857187265098</v>
      </c>
      <c r="HK32" s="48">
        <v>4.8616643279630498</v>
      </c>
      <c r="HL32" s="48">
        <v>4.7260813386489904</v>
      </c>
      <c r="HM32" s="48">
        <v>4.8117364653922596</v>
      </c>
      <c r="HN32" s="48">
        <v>5.1930257618233098</v>
      </c>
      <c r="HO32" s="48">
        <v>5.1001714661837001</v>
      </c>
      <c r="HP32" s="48">
        <v>5.1560065597625702</v>
      </c>
      <c r="HQ32" s="48">
        <v>5.12701898109004</v>
      </c>
      <c r="HR32" s="48">
        <v>5.1710261708120102</v>
      </c>
      <c r="HS32" s="48">
        <v>5.6866959007050601</v>
      </c>
      <c r="HT32" s="48">
        <v>5.6537198760344998</v>
      </c>
      <c r="HU32" s="48">
        <v>8.4653791506145399</v>
      </c>
      <c r="HV32" s="48">
        <v>8.4132773104478193</v>
      </c>
      <c r="HW32" s="48">
        <v>8.3585040759398801</v>
      </c>
      <c r="HX32" s="48">
        <v>8.4366427453964494</v>
      </c>
      <c r="HY32" s="48">
        <v>5.7812083923933804</v>
      </c>
      <c r="HZ32" s="48">
        <v>5.7751144375259296</v>
      </c>
      <c r="IA32" s="48">
        <v>5.79232370613716</v>
      </c>
    </row>
    <row r="33" spans="1:235">
      <c r="A33" s="12" t="s">
        <v>289</v>
      </c>
      <c r="B33" s="33" t="s">
        <v>228</v>
      </c>
      <c r="C33" s="12" t="s">
        <v>289</v>
      </c>
      <c r="D33" s="43">
        <v>12.89</v>
      </c>
      <c r="E33" s="43">
        <v>16.07</v>
      </c>
      <c r="F33" s="43">
        <v>16.149999999999999</v>
      </c>
      <c r="G33" s="43">
        <v>14.62</v>
      </c>
      <c r="H33" s="43">
        <v>14.62</v>
      </c>
      <c r="I33" s="43">
        <v>14.77</v>
      </c>
      <c r="J33" s="43">
        <v>14.72</v>
      </c>
      <c r="K33" s="43">
        <v>14.98</v>
      </c>
      <c r="L33" s="43">
        <v>14.686999999999999</v>
      </c>
      <c r="M33" s="43">
        <v>14.67</v>
      </c>
      <c r="N33" s="43">
        <v>14.524777974012169</v>
      </c>
      <c r="O33" s="43">
        <v>15.431697514377056</v>
      </c>
      <c r="P33" s="43">
        <v>14.844100425044561</v>
      </c>
      <c r="Q33" s="43">
        <v>14.899583289549028</v>
      </c>
      <c r="R33" s="43">
        <v>15.178726006854175</v>
      </c>
      <c r="S33" s="43">
        <v>15.936826929883999</v>
      </c>
      <c r="T33" s="43">
        <v>15.444049326761295</v>
      </c>
      <c r="U33" s="43">
        <v>15.08078989605052</v>
      </c>
      <c r="V33" s="43">
        <v>15.743568847289653</v>
      </c>
      <c r="W33" s="43">
        <v>16.520076891245022</v>
      </c>
      <c r="X33" s="43"/>
      <c r="Y33" s="43">
        <v>16.196796657278227</v>
      </c>
      <c r="Z33" s="43">
        <v>16.956617135561391</v>
      </c>
      <c r="AA33" s="43">
        <v>16.873831117757714</v>
      </c>
      <c r="AB33" s="43">
        <v>17.040236036141092</v>
      </c>
      <c r="AC33" s="43">
        <v>17.401057694423237</v>
      </c>
      <c r="AD33" s="43">
        <v>17.008938930619486</v>
      </c>
      <c r="AE33" s="43">
        <v>17.181429715241933</v>
      </c>
      <c r="AF33" s="43">
        <v>17.224975426576865</v>
      </c>
      <c r="AG33" s="43">
        <v>17.471990474315916</v>
      </c>
      <c r="AH33" s="43">
        <v>18.217153307132659</v>
      </c>
      <c r="AI33" s="43">
        <v>17.863068863537517</v>
      </c>
      <c r="AJ33" s="43">
        <v>18.35966299302213</v>
      </c>
      <c r="AK33" s="43">
        <v>18.868794405613009</v>
      </c>
      <c r="AL33" s="43">
        <v>19.022581980336039</v>
      </c>
      <c r="AM33" s="43">
        <v>18.796797131870772</v>
      </c>
      <c r="AN33" s="43">
        <v>19.030550669161869</v>
      </c>
      <c r="AO33" s="43">
        <v>19.063054771258507</v>
      </c>
      <c r="AP33" s="43">
        <v>19.011228703454407</v>
      </c>
      <c r="AQ33" s="43">
        <v>19.097180859677916</v>
      </c>
      <c r="AR33" s="43">
        <v>19.147229451490219</v>
      </c>
      <c r="AS33" s="43">
        <v>19.215548659158372</v>
      </c>
      <c r="AT33" s="43">
        <v>19.031692645488896</v>
      </c>
      <c r="AU33" s="43">
        <v>19.402803034473784</v>
      </c>
      <c r="AV33" s="43">
        <v>19.466293841407296</v>
      </c>
      <c r="AW33" s="43">
        <v>19.757428577459571</v>
      </c>
      <c r="AX33" s="43">
        <v>19.93542723431489</v>
      </c>
      <c r="AY33" s="43">
        <v>20.31863115891186</v>
      </c>
      <c r="AZ33" s="43">
        <v>20.283205738596852</v>
      </c>
      <c r="BA33" s="43">
        <v>20.779605757240589</v>
      </c>
      <c r="BB33" s="43">
        <v>21.1441632808246</v>
      </c>
      <c r="BC33" s="43">
        <v>20.802084763866389</v>
      </c>
      <c r="BD33" s="43">
        <v>20.474877656467868</v>
      </c>
      <c r="BE33" s="43">
        <v>21.182291718912062</v>
      </c>
      <c r="BF33" s="43">
        <v>21.449290965791867</v>
      </c>
      <c r="BG33" s="43">
        <v>21.306164933368532</v>
      </c>
      <c r="BH33" s="43">
        <v>21.098968106856951</v>
      </c>
      <c r="BI33" s="43">
        <v>20.995169090456812</v>
      </c>
      <c r="BJ33" s="43">
        <v>20.71465889663698</v>
      </c>
      <c r="BK33" s="43">
        <v>20.330354790359184</v>
      </c>
      <c r="BL33" s="43">
        <v>20.220567591536451</v>
      </c>
      <c r="BM33" s="43">
        <v>19.871457240749105</v>
      </c>
      <c r="BN33" s="43">
        <v>20.028803106059609</v>
      </c>
      <c r="BO33" s="43">
        <v>19.218588554971934</v>
      </c>
      <c r="BP33" s="43">
        <v>19.131557439769033</v>
      </c>
      <c r="BQ33" s="43">
        <v>19.154998039343468</v>
      </c>
      <c r="BR33" s="43">
        <v>19.262096953899526</v>
      </c>
      <c r="BS33" s="43">
        <v>19.270919710368929</v>
      </c>
      <c r="BT33" s="43">
        <v>19.431509919129997</v>
      </c>
      <c r="BU33" s="43">
        <v>19.597189108191497</v>
      </c>
      <c r="BV33" s="43">
        <v>19.393533229977685</v>
      </c>
      <c r="BW33" s="43">
        <v>19.193739754176701</v>
      </c>
      <c r="BX33" s="43">
        <v>18.8310455485408</v>
      </c>
      <c r="BY33" s="43">
        <v>13.89492236497412</v>
      </c>
      <c r="BZ33" s="43">
        <v>13.882912211800663</v>
      </c>
      <c r="CA33" s="43">
        <v>13.915228386700019</v>
      </c>
      <c r="CB33" s="43">
        <v>13.867717397343101</v>
      </c>
      <c r="CC33" s="43">
        <v>14.091534855218503</v>
      </c>
      <c r="CD33" s="43">
        <v>14.194209139584055</v>
      </c>
      <c r="CE33" s="43">
        <v>14.492014586779385</v>
      </c>
      <c r="CF33" s="43">
        <v>14.35196198924341</v>
      </c>
      <c r="CG33" s="43">
        <v>15.028486507979895</v>
      </c>
      <c r="CH33" s="43">
        <v>14.906628035942674</v>
      </c>
      <c r="CI33" s="43">
        <v>14.887369553015359</v>
      </c>
      <c r="CJ33" s="43">
        <v>15.113615232430131</v>
      </c>
      <c r="CK33" s="43">
        <v>15.847265691669804</v>
      </c>
      <c r="CL33" s="43">
        <v>14.983103505315094</v>
      </c>
      <c r="CM33" s="43">
        <v>14.945604044680934</v>
      </c>
      <c r="CN33" s="43">
        <v>14.983192934075346</v>
      </c>
      <c r="CO33" s="43">
        <v>14.256651608240157</v>
      </c>
      <c r="CP33" s="43">
        <v>14.839615344721899</v>
      </c>
      <c r="CQ33" s="43">
        <v>14.02738877388939</v>
      </c>
      <c r="CR33" s="43">
        <v>13.984442562005441</v>
      </c>
      <c r="CS33" s="43">
        <v>13.948310658433513</v>
      </c>
      <c r="CT33" s="43">
        <v>13.912623059178642</v>
      </c>
      <c r="CU33" s="43">
        <v>14.133425546066812</v>
      </c>
      <c r="CV33" s="43">
        <v>14.088944139128669</v>
      </c>
      <c r="CW33" s="43">
        <v>12.915073107898008</v>
      </c>
      <c r="CX33" s="43">
        <v>11.592299113260179</v>
      </c>
      <c r="CY33" s="43">
        <v>11.410435636761461</v>
      </c>
      <c r="CZ33" s="43">
        <v>11.111227009398755</v>
      </c>
      <c r="DA33" s="43">
        <v>10.307805318621392</v>
      </c>
      <c r="DB33" s="43">
        <v>13.702197268157459</v>
      </c>
      <c r="DC33" s="43">
        <v>13.719665968101163</v>
      </c>
      <c r="DD33" s="43">
        <v>14.073195286861694</v>
      </c>
      <c r="DE33" s="43">
        <v>13.607945747958077</v>
      </c>
      <c r="DF33" s="43">
        <v>13.676540755717204</v>
      </c>
      <c r="DG33" s="43">
        <v>13.720572046632531</v>
      </c>
      <c r="DH33" s="43">
        <v>13.634948484638466</v>
      </c>
      <c r="DI33" s="43">
        <v>13.670378858220433</v>
      </c>
      <c r="DJ33" s="43">
        <v>13.774382318067667</v>
      </c>
      <c r="DK33" s="43">
        <v>13.890085949597736</v>
      </c>
      <c r="DL33" s="43">
        <v>14.373123050860473</v>
      </c>
      <c r="DM33" s="43">
        <v>14.447212490141318</v>
      </c>
      <c r="DN33" s="43">
        <v>13.547396035832044</v>
      </c>
      <c r="DO33" s="43">
        <v>14.112659691498616</v>
      </c>
      <c r="DP33" s="43">
        <v>13.922777567877793</v>
      </c>
      <c r="DQ33" s="43">
        <v>14.031925528391437</v>
      </c>
      <c r="DR33" s="43">
        <v>14.608484769387182</v>
      </c>
      <c r="DS33" s="43">
        <v>14.97209719521449</v>
      </c>
      <c r="DT33" s="43">
        <v>14.715466600904179</v>
      </c>
      <c r="DU33" s="43">
        <v>15.223862201824705</v>
      </c>
      <c r="DV33" s="43">
        <v>15.46</v>
      </c>
      <c r="DW33" s="43">
        <v>13.86319805617717</v>
      </c>
      <c r="DX33" s="43">
        <v>13.527478984186381</v>
      </c>
      <c r="DY33" s="43">
        <v>12.601944333476922</v>
      </c>
      <c r="DZ33" s="43">
        <v>12.119116699029982</v>
      </c>
      <c r="EA33" s="43">
        <v>11.456278698461716</v>
      </c>
      <c r="EB33" s="43">
        <v>12.148509076947574</v>
      </c>
      <c r="EC33" s="43">
        <v>12.553950546745465</v>
      </c>
      <c r="ED33" s="43">
        <v>12.640262822647117</v>
      </c>
      <c r="EE33" s="43">
        <v>13.650163910155628</v>
      </c>
      <c r="EF33" s="43">
        <v>13.602127253664559</v>
      </c>
      <c r="EG33" s="43">
        <v>14.446049352298923</v>
      </c>
      <c r="EH33" s="43">
        <v>11.604464939171832</v>
      </c>
      <c r="EI33" s="43">
        <v>11.532072321928574</v>
      </c>
      <c r="EJ33" s="43">
        <v>13.131378925777975</v>
      </c>
      <c r="EK33" s="43">
        <v>10.132740966090893</v>
      </c>
      <c r="EL33" s="43">
        <v>9.2269206402271902</v>
      </c>
      <c r="EM33" s="43">
        <v>8.9946656426027563</v>
      </c>
      <c r="EN33" s="43">
        <v>9.9157348292876542</v>
      </c>
      <c r="EO33" s="43">
        <v>9.5642330202436394</v>
      </c>
      <c r="EP33" s="43">
        <v>9.4459295049135594</v>
      </c>
      <c r="EQ33" s="43">
        <v>9.1953342620269591</v>
      </c>
      <c r="ER33" s="43">
        <v>8.2541321499821443</v>
      </c>
      <c r="ES33" s="43">
        <v>7.5765838658553619</v>
      </c>
      <c r="ET33" s="43">
        <v>8.0241696477485185</v>
      </c>
      <c r="EU33" s="43">
        <v>7.9208684310868316</v>
      </c>
      <c r="EV33" s="43">
        <v>7.8436861165822851</v>
      </c>
      <c r="EW33" s="43">
        <v>7.7556569717050579</v>
      </c>
      <c r="EX33" s="43">
        <v>7.8832315466564813</v>
      </c>
      <c r="EY33" s="43">
        <v>10.665044413742587</v>
      </c>
      <c r="EZ33" s="43">
        <v>10.637288948953689</v>
      </c>
      <c r="FA33" s="43">
        <v>12.496833054119</v>
      </c>
      <c r="FB33" s="43">
        <v>12.530805878634199</v>
      </c>
      <c r="FC33" s="43">
        <v>12.37943895784227</v>
      </c>
      <c r="FD33" s="43">
        <v>12.22137591100825</v>
      </c>
      <c r="FE33" s="48">
        <v>11.647176261744661</v>
      </c>
      <c r="FF33" s="48">
        <v>11.55693655423447</v>
      </c>
      <c r="FG33" s="48">
        <v>11.481359171997726</v>
      </c>
      <c r="FH33" s="48">
        <v>11.557123939558855</v>
      </c>
      <c r="FI33" s="48">
        <v>11.128191327879701</v>
      </c>
      <c r="FJ33" s="48">
        <v>10.922410232748444</v>
      </c>
      <c r="FK33" s="48">
        <v>10.789696476228924</v>
      </c>
      <c r="FL33" s="48">
        <v>10.758281882915409</v>
      </c>
      <c r="FM33" s="48">
        <v>10.936885680805231</v>
      </c>
      <c r="FN33" s="48">
        <v>10.786018677782783</v>
      </c>
      <c r="FO33" s="48">
        <v>10.421524946112209</v>
      </c>
      <c r="FP33" s="48">
        <v>10.480413006276706</v>
      </c>
      <c r="FQ33" s="48">
        <v>8.9148131002316422</v>
      </c>
      <c r="FR33" s="48">
        <v>8.4356324887273129</v>
      </c>
      <c r="FS33" s="48">
        <v>8.4561537850382695</v>
      </c>
      <c r="FT33" s="48">
        <v>8.3166614571389541</v>
      </c>
      <c r="FU33" s="48">
        <v>7.8607351466666708</v>
      </c>
      <c r="FV33" s="48">
        <v>7.8414717382267201</v>
      </c>
      <c r="FW33" s="48">
        <v>7.5728970699339397</v>
      </c>
      <c r="FX33" s="48">
        <v>7.4223408689213217</v>
      </c>
      <c r="FY33" s="47">
        <v>7.442632243736969</v>
      </c>
      <c r="FZ33" s="47">
        <v>7.3405458875675427</v>
      </c>
      <c r="GA33" s="47">
        <v>7.3774738860324014</v>
      </c>
      <c r="GB33" s="47">
        <v>6.8620765556573753</v>
      </c>
      <c r="GC33" s="48">
        <v>6.5062276652737348</v>
      </c>
      <c r="GD33" s="48">
        <v>6.0481327558066367</v>
      </c>
      <c r="GE33" s="48">
        <v>6.043051980523753</v>
      </c>
      <c r="GF33" s="48">
        <v>6.0932735143274792</v>
      </c>
      <c r="GG33" s="48">
        <v>6.058004090884757</v>
      </c>
      <c r="GH33" s="48">
        <v>5.9200558877540903</v>
      </c>
      <c r="GI33" s="48">
        <v>5.9239142902138999</v>
      </c>
      <c r="GJ33" s="48">
        <v>6.0996448223164297</v>
      </c>
      <c r="GK33" s="48">
        <v>6.1254707697158199</v>
      </c>
      <c r="GL33" s="48">
        <v>5.97217038500066</v>
      </c>
      <c r="GM33" s="48">
        <v>5.8003108951728501</v>
      </c>
      <c r="GN33" s="48">
        <v>5.5634728820555797</v>
      </c>
      <c r="GO33" s="48">
        <v>5.5021209296311797</v>
      </c>
      <c r="GP33" s="48">
        <v>5.4793078548745404</v>
      </c>
      <c r="GQ33" s="48">
        <v>5.4793078548745404</v>
      </c>
      <c r="GR33" s="48">
        <v>5.3915535118986897</v>
      </c>
      <c r="GS33" s="48">
        <v>5.1989191614457697</v>
      </c>
      <c r="GT33" s="48">
        <v>4.9776232518498498</v>
      </c>
      <c r="GU33" s="48">
        <v>4.9677974727635297</v>
      </c>
      <c r="GV33" s="48">
        <v>4.9645525369978802</v>
      </c>
      <c r="GW33" s="48">
        <v>5.0028183842791902</v>
      </c>
      <c r="GX33" s="48">
        <v>4.9123276414300703</v>
      </c>
      <c r="GY33" s="48">
        <v>4.9061319500002103</v>
      </c>
      <c r="GZ33" s="48">
        <v>4.9627735176734999</v>
      </c>
      <c r="HA33" s="48">
        <v>4.9771609455107502</v>
      </c>
      <c r="HB33" s="48">
        <v>4.8071397602293802</v>
      </c>
      <c r="HC33" s="48">
        <v>4.79529289078756</v>
      </c>
      <c r="HD33" s="48">
        <v>4.7879284810601002</v>
      </c>
      <c r="HE33" s="48">
        <v>4.7565333238863596</v>
      </c>
      <c r="HF33" s="48">
        <v>4.7796225572394899</v>
      </c>
      <c r="HG33" s="48">
        <v>4.7775707223817898</v>
      </c>
      <c r="HH33" s="48">
        <v>4.7382567965801696</v>
      </c>
      <c r="HI33" s="48">
        <v>4.6697036805711702</v>
      </c>
      <c r="HJ33" s="48">
        <v>4.6158752195294799</v>
      </c>
      <c r="HK33" s="48">
        <v>4.5966802095655304</v>
      </c>
      <c r="HL33" s="48">
        <v>4.5899162028663101</v>
      </c>
      <c r="HM33" s="48">
        <v>4.6181068987217504</v>
      </c>
      <c r="HN33" s="48">
        <v>4.6385818836448696</v>
      </c>
      <c r="HO33" s="48">
        <v>4.6078827150650996</v>
      </c>
      <c r="HP33" s="48">
        <v>4.6109670574759303</v>
      </c>
      <c r="HQ33" s="48">
        <v>4.5984333600494702</v>
      </c>
      <c r="HR33" s="48">
        <v>4.6042724119919898</v>
      </c>
      <c r="HS33" s="48">
        <v>4.6161138007667804</v>
      </c>
      <c r="HT33" s="48">
        <v>4.6193344118843997</v>
      </c>
      <c r="HU33" s="48">
        <v>4.0371234839716497</v>
      </c>
      <c r="HV33" s="48">
        <v>4.0422861272034201</v>
      </c>
      <c r="HW33" s="48">
        <v>4.1667360595245597</v>
      </c>
      <c r="HX33" s="48">
        <v>4.1300443608073296</v>
      </c>
      <c r="HY33" s="48">
        <v>4.6788793042779</v>
      </c>
      <c r="HZ33" s="48">
        <v>4.6756997710800796</v>
      </c>
      <c r="IA33" s="48">
        <v>5.0286481850704696</v>
      </c>
    </row>
    <row r="34" spans="1:235">
      <c r="A34" s="12" t="s">
        <v>290</v>
      </c>
      <c r="B34" s="33" t="s">
        <v>229</v>
      </c>
      <c r="C34" s="12" t="s">
        <v>290</v>
      </c>
      <c r="D34" s="43">
        <v>12.87</v>
      </c>
      <c r="E34" s="43">
        <v>14.91</v>
      </c>
      <c r="F34" s="43">
        <v>14.66</v>
      </c>
      <c r="G34" s="43">
        <v>14.71</v>
      </c>
      <c r="H34" s="43">
        <v>14.73</v>
      </c>
      <c r="I34" s="43">
        <v>14.69</v>
      </c>
      <c r="J34" s="43">
        <v>14.71</v>
      </c>
      <c r="K34" s="43">
        <v>15.2</v>
      </c>
      <c r="L34" s="43">
        <v>15.77</v>
      </c>
      <c r="M34" s="43">
        <v>16.190000000000001</v>
      </c>
      <c r="N34" s="43">
        <v>14.069533722992054</v>
      </c>
      <c r="O34" s="43">
        <v>14.170734791956493</v>
      </c>
      <c r="P34" s="43">
        <v>16.765940883678137</v>
      </c>
      <c r="Q34" s="43">
        <v>15.06529972798953</v>
      </c>
      <c r="R34" s="43">
        <v>15.602682030728122</v>
      </c>
      <c r="S34" s="43">
        <v>12.387354158825744</v>
      </c>
      <c r="T34" s="43">
        <v>16.42137825421133</v>
      </c>
      <c r="U34" s="43">
        <v>14.622507150851884</v>
      </c>
      <c r="V34" s="43">
        <v>14.500107890839855</v>
      </c>
      <c r="W34" s="43">
        <v>14.377937052355493</v>
      </c>
      <c r="X34" s="43">
        <v>14.466466362489077</v>
      </c>
      <c r="Y34" s="43">
        <v>14.954261686718141</v>
      </c>
      <c r="Z34" s="43">
        <v>15.635736885279682</v>
      </c>
      <c r="AA34" s="43">
        <v>15.867989676040532</v>
      </c>
      <c r="AB34" s="43">
        <v>16.709960849370592</v>
      </c>
      <c r="AC34" s="43">
        <v>16.74545047993881</v>
      </c>
      <c r="AD34" s="43">
        <v>16.76438167406538</v>
      </c>
      <c r="AE34" s="43">
        <v>16.279590918522686</v>
      </c>
      <c r="AF34" s="43">
        <v>16.243933244049725</v>
      </c>
      <c r="AG34" s="43">
        <v>15.815018694069135</v>
      </c>
      <c r="AH34" s="43">
        <v>15.649148498998199</v>
      </c>
      <c r="AI34" s="43">
        <v>15.984687951325791</v>
      </c>
      <c r="AJ34" s="43">
        <v>14.357882569200084</v>
      </c>
      <c r="AK34" s="43">
        <v>16.124524450030542</v>
      </c>
      <c r="AL34" s="43">
        <v>16.23758388244179</v>
      </c>
      <c r="AM34" s="43">
        <v>16.058740220468078</v>
      </c>
      <c r="AN34" s="43">
        <v>17.037135205371161</v>
      </c>
      <c r="AO34" s="43">
        <v>16.600147117339013</v>
      </c>
      <c r="AP34" s="43">
        <v>17.311601078040272</v>
      </c>
      <c r="AQ34" s="43">
        <v>17.005130610541645</v>
      </c>
      <c r="AR34" s="43">
        <v>16.581196107315296</v>
      </c>
      <c r="AS34" s="43">
        <v>16.907991938729175</v>
      </c>
      <c r="AT34" s="43">
        <v>16.840017045211752</v>
      </c>
      <c r="AU34" s="43">
        <v>16.898212911867933</v>
      </c>
      <c r="AV34" s="43">
        <v>16.859420804070254</v>
      </c>
      <c r="AW34" s="43">
        <v>17.518092862549501</v>
      </c>
      <c r="AX34" s="43">
        <v>17.031856955784168</v>
      </c>
      <c r="AY34" s="43">
        <v>16.78017055743252</v>
      </c>
      <c r="AZ34" s="43">
        <v>16.734003512196441</v>
      </c>
      <c r="BA34" s="43">
        <v>12.400444462084097</v>
      </c>
      <c r="BB34" s="43">
        <v>12.297985951422241</v>
      </c>
      <c r="BC34" s="43">
        <v>16.613706433434107</v>
      </c>
      <c r="BD34" s="43">
        <v>16.745472159005349</v>
      </c>
      <c r="BE34" s="43">
        <v>16.618434451955384</v>
      </c>
      <c r="BF34" s="43">
        <v>16.951021060153238</v>
      </c>
      <c r="BG34" s="43">
        <v>16.847123539976192</v>
      </c>
      <c r="BH34" s="43">
        <v>16.869583839863957</v>
      </c>
      <c r="BI34" s="43">
        <v>16.898742660656676</v>
      </c>
      <c r="BJ34" s="43">
        <v>17.124751900312791</v>
      </c>
      <c r="BK34" s="43">
        <v>17.508540003746155</v>
      </c>
      <c r="BL34" s="43">
        <v>17.472420189423627</v>
      </c>
      <c r="BM34" s="43">
        <v>17.852008895404154</v>
      </c>
      <c r="BN34" s="43">
        <v>17.146295915970338</v>
      </c>
      <c r="BO34" s="43">
        <v>15.590495590715477</v>
      </c>
      <c r="BP34" s="43">
        <v>16.222233685983653</v>
      </c>
      <c r="BQ34" s="43">
        <v>16.822247581583415</v>
      </c>
      <c r="BR34" s="43">
        <v>16.829806980956242</v>
      </c>
      <c r="BS34" s="43">
        <v>17.035162489576184</v>
      </c>
      <c r="BT34" s="43">
        <v>16.885011149739178</v>
      </c>
      <c r="BU34" s="43">
        <v>16.564013678450635</v>
      </c>
      <c r="BV34" s="43">
        <v>16.360639810350524</v>
      </c>
      <c r="BW34" s="43">
        <v>16.236073109741032</v>
      </c>
      <c r="BX34" s="43">
        <v>16.166753666674115</v>
      </c>
      <c r="BY34" s="43">
        <v>12.887417794807989</v>
      </c>
      <c r="BZ34" s="43">
        <v>12.880773386871025</v>
      </c>
      <c r="CA34" s="43">
        <v>12.999206685512361</v>
      </c>
      <c r="CB34" s="43">
        <v>12.993665062287654</v>
      </c>
      <c r="CC34" s="43">
        <v>13.11127770041495</v>
      </c>
      <c r="CD34" s="43">
        <v>13.301448354286794</v>
      </c>
      <c r="CE34" s="43">
        <v>13.210095859450263</v>
      </c>
      <c r="CF34" s="43">
        <v>13.178629580280598</v>
      </c>
      <c r="CG34" s="43">
        <v>13.24913161337123</v>
      </c>
      <c r="CH34" s="43">
        <v>13.672682956626264</v>
      </c>
      <c r="CI34" s="43">
        <v>13.188347936018586</v>
      </c>
      <c r="CJ34" s="43">
        <v>13.189471055102068</v>
      </c>
      <c r="CK34" s="43">
        <v>13.144848062948983</v>
      </c>
      <c r="CL34" s="43">
        <v>12.510648413843292</v>
      </c>
      <c r="CM34" s="43">
        <v>12.525223241708828</v>
      </c>
      <c r="CN34" s="43">
        <v>12.441952029865632</v>
      </c>
      <c r="CO34" s="43">
        <v>12.392880070539569</v>
      </c>
      <c r="CP34" s="43">
        <v>12.400146666706798</v>
      </c>
      <c r="CQ34" s="43">
        <v>9.8124904586164075</v>
      </c>
      <c r="CR34" s="43">
        <v>9.9114746204258797</v>
      </c>
      <c r="CS34" s="43">
        <v>10.176712702550267</v>
      </c>
      <c r="CT34" s="43">
        <v>10.525180880308973</v>
      </c>
      <c r="CU34" s="43">
        <v>10.336624764854182</v>
      </c>
      <c r="CV34" s="43">
        <v>10.646367522183901</v>
      </c>
      <c r="CW34" s="43">
        <v>10.733737231671977</v>
      </c>
      <c r="CX34" s="43">
        <v>10.824994111048074</v>
      </c>
      <c r="CY34" s="43">
        <v>10.597844692467131</v>
      </c>
      <c r="CZ34" s="43">
        <v>10.639289679854011</v>
      </c>
      <c r="DA34" s="43">
        <v>10.028063677597315</v>
      </c>
      <c r="DB34" s="43">
        <v>10.540090327985943</v>
      </c>
      <c r="DC34" s="43">
        <v>10.633145635608082</v>
      </c>
      <c r="DD34" s="43">
        <v>9.6095618310685431</v>
      </c>
      <c r="DE34" s="43">
        <v>10.851454308117541</v>
      </c>
      <c r="DF34" s="43">
        <v>10.656633013292485</v>
      </c>
      <c r="DG34" s="43">
        <v>10.597652021827264</v>
      </c>
      <c r="DH34" s="43">
        <v>10.565053745956774</v>
      </c>
      <c r="DI34" s="43">
        <v>10.371303810252742</v>
      </c>
      <c r="DJ34" s="43">
        <v>10.54857658381677</v>
      </c>
      <c r="DK34" s="43">
        <v>10.417782441856961</v>
      </c>
      <c r="DL34" s="43">
        <v>10.701156335558359</v>
      </c>
      <c r="DM34" s="43">
        <v>10.820656411142425</v>
      </c>
      <c r="DN34" s="43">
        <v>10.497814682296104</v>
      </c>
      <c r="DO34" s="43">
        <v>10.509191863567883</v>
      </c>
      <c r="DP34" s="43">
        <v>10.199309417991451</v>
      </c>
      <c r="DQ34" s="43">
        <v>10.528884466134492</v>
      </c>
      <c r="DR34" s="43">
        <v>9.6224978779355226</v>
      </c>
      <c r="DS34" s="43">
        <v>9.2623715894821554</v>
      </c>
      <c r="DT34" s="43">
        <v>10.256024322478829</v>
      </c>
      <c r="DU34" s="43">
        <v>10.772740274459682</v>
      </c>
      <c r="DV34" s="43">
        <v>10.55</v>
      </c>
      <c r="DW34" s="43">
        <v>10.348133137714793</v>
      </c>
      <c r="DX34" s="43">
        <v>10.870662617639804</v>
      </c>
      <c r="DY34" s="43">
        <v>10.737123801953231</v>
      </c>
      <c r="DZ34" s="43">
        <v>10.746511988599442</v>
      </c>
      <c r="EA34" s="43">
        <v>10.571321656003384</v>
      </c>
      <c r="EB34" s="43">
        <v>10.669546676955074</v>
      </c>
      <c r="EC34" s="43">
        <v>10.85117637638157</v>
      </c>
      <c r="ED34" s="43">
        <v>11.056034777184118</v>
      </c>
      <c r="EE34" s="43">
        <v>10.000195757528621</v>
      </c>
      <c r="EF34" s="43">
        <v>10.041119989920904</v>
      </c>
      <c r="EG34" s="43">
        <v>9.5503646378579283</v>
      </c>
      <c r="EH34" s="43">
        <v>9.3317148974205679</v>
      </c>
      <c r="EI34" s="43">
        <v>8.951369212372601</v>
      </c>
      <c r="EJ34" s="43">
        <v>8.9266084251071351</v>
      </c>
      <c r="EK34" s="43">
        <v>8.844010353628752</v>
      </c>
      <c r="EL34" s="43">
        <v>8.414359139511161</v>
      </c>
      <c r="EM34" s="43">
        <v>8.4261957150078413</v>
      </c>
      <c r="EN34" s="43">
        <v>8.5730231850281395</v>
      </c>
      <c r="EO34" s="43">
        <v>8.6964505665214027</v>
      </c>
      <c r="EP34" s="43">
        <v>8.5959471823715212</v>
      </c>
      <c r="EQ34" s="43">
        <v>8.1611887286894653</v>
      </c>
      <c r="ER34" s="43">
        <v>7.6788425849105879</v>
      </c>
      <c r="ES34" s="43">
        <v>7.621751865999232</v>
      </c>
      <c r="ET34" s="43">
        <v>7.8029418308084981</v>
      </c>
      <c r="EU34" s="43">
        <v>7.6440746449684793</v>
      </c>
      <c r="EV34" s="43">
        <v>7.6610795619834331</v>
      </c>
      <c r="EW34" s="43">
        <v>7.6322490196025283</v>
      </c>
      <c r="EX34" s="43">
        <v>7.3945334887932646</v>
      </c>
      <c r="EY34" s="43">
        <v>7.2969312702227658</v>
      </c>
      <c r="EZ34" s="43">
        <v>7.2897429993265606</v>
      </c>
      <c r="FA34" s="43">
        <v>7.1665971470682157</v>
      </c>
      <c r="FB34" s="43">
        <v>7.0427556277892736</v>
      </c>
      <c r="FC34" s="43">
        <v>6.9305882705694435</v>
      </c>
      <c r="FD34" s="43">
        <v>6.8690577232813439</v>
      </c>
      <c r="FE34" s="48">
        <v>6.3377621636447392</v>
      </c>
      <c r="FF34" s="48">
        <v>6.4106833434719777</v>
      </c>
      <c r="FG34" s="48">
        <v>6.3604570285573647</v>
      </c>
      <c r="FH34" s="48">
        <v>6.2791113292945955</v>
      </c>
      <c r="FI34" s="48">
        <v>6.3168646592133513</v>
      </c>
      <c r="FJ34" s="48">
        <v>6.2814503266051132</v>
      </c>
      <c r="FK34" s="48">
        <v>6.3944616739592632</v>
      </c>
      <c r="FL34" s="48">
        <v>6.3793527202829656</v>
      </c>
      <c r="FM34" s="48">
        <v>6.3920577509313015</v>
      </c>
      <c r="FN34" s="48">
        <v>6.3121834570774773</v>
      </c>
      <c r="FO34" s="48">
        <v>6.0130656838122549</v>
      </c>
      <c r="FP34" s="48">
        <v>6.0237547210720095</v>
      </c>
      <c r="FQ34" s="48">
        <v>6.0305705053918635</v>
      </c>
      <c r="FR34" s="48">
        <v>5.7055504269163517</v>
      </c>
      <c r="FS34" s="48">
        <v>5.6107413220564117</v>
      </c>
      <c r="FT34" s="48">
        <v>5.6028838267974885</v>
      </c>
      <c r="FU34" s="48">
        <v>5.4273743761640372</v>
      </c>
      <c r="FV34" s="48">
        <v>5.4007531006434251</v>
      </c>
      <c r="FW34" s="48">
        <v>5.5694668918068491</v>
      </c>
      <c r="FX34" s="48">
        <v>5.5754353960766831</v>
      </c>
      <c r="FY34" s="48">
        <v>5.4482097819268649</v>
      </c>
      <c r="FZ34" s="47">
        <v>5.2589424295845797</v>
      </c>
      <c r="GA34" s="47">
        <v>5.4666713886434621</v>
      </c>
      <c r="GB34" s="47">
        <v>5.41775219905659</v>
      </c>
      <c r="GC34" s="47">
        <v>5.264978476370735</v>
      </c>
      <c r="GD34" s="48">
        <v>5.3925706628020187</v>
      </c>
      <c r="GE34" s="48">
        <v>5.2743598481755134</v>
      </c>
      <c r="GF34" s="48">
        <v>5.2470607243381675</v>
      </c>
      <c r="GG34" s="48">
        <v>5.1698260999596126</v>
      </c>
      <c r="GH34" s="48">
        <v>5.0486260156690301</v>
      </c>
      <c r="GI34" s="48">
        <v>4.89364727195548</v>
      </c>
      <c r="GJ34" s="48">
        <v>4.9146686909640698</v>
      </c>
      <c r="GK34" s="48">
        <v>4.91779022306046</v>
      </c>
      <c r="GL34" s="48">
        <v>4.8372682474290496</v>
      </c>
      <c r="GM34" s="48">
        <v>4.8217659470725902</v>
      </c>
      <c r="GN34" s="48">
        <v>4.7813221290836001</v>
      </c>
      <c r="GO34" s="48">
        <v>4.7359394864088502</v>
      </c>
      <c r="GP34" s="48">
        <v>4.7293202691035203</v>
      </c>
      <c r="GQ34" s="48">
        <v>4.7293202691035203</v>
      </c>
      <c r="GR34" s="48">
        <v>4.7149409435027696</v>
      </c>
      <c r="GS34" s="48">
        <v>4.7659022369044202</v>
      </c>
      <c r="GT34" s="48">
        <v>4.7700689465356296</v>
      </c>
      <c r="GU34" s="48">
        <v>4.7782313732885999</v>
      </c>
      <c r="GV34" s="48">
        <v>4.8174617197022096</v>
      </c>
      <c r="GW34" s="48">
        <v>4.8853234865443103</v>
      </c>
      <c r="GX34" s="48">
        <v>4.8080816893005096</v>
      </c>
      <c r="GY34" s="48">
        <v>4.8054473763864101</v>
      </c>
      <c r="GZ34" s="48">
        <v>5.0498286912128796</v>
      </c>
      <c r="HA34" s="48">
        <v>4.9645862392498303</v>
      </c>
      <c r="HB34" s="48">
        <v>4.7689175838842202</v>
      </c>
      <c r="HC34" s="48">
        <v>4.7616531205578401</v>
      </c>
      <c r="HD34" s="48">
        <v>4.7530806265123404</v>
      </c>
      <c r="HE34" s="48">
        <v>4.7398841784824102</v>
      </c>
      <c r="HF34" s="48">
        <v>4.7143686696342604</v>
      </c>
      <c r="HG34" s="48">
        <v>4.73256451133315</v>
      </c>
      <c r="HH34" s="48">
        <v>4.9147919042508201</v>
      </c>
      <c r="HI34" s="48">
        <v>4.90396292687862</v>
      </c>
      <c r="HJ34" s="48">
        <v>4.9121092757979996</v>
      </c>
      <c r="HK34" s="48">
        <v>4.8848732943284698</v>
      </c>
      <c r="HL34" s="48">
        <v>4.9002298328511298</v>
      </c>
      <c r="HM34" s="48">
        <v>4.5048904375546703</v>
      </c>
      <c r="HN34" s="48">
        <v>4.6007063235080503</v>
      </c>
      <c r="HO34" s="48">
        <v>4.5852882636035304</v>
      </c>
      <c r="HP34" s="48">
        <v>4.5474347331230396</v>
      </c>
      <c r="HQ34" s="48">
        <v>4.5514538503738002</v>
      </c>
      <c r="HR34" s="48">
        <v>4.54085466098645</v>
      </c>
      <c r="HS34" s="48">
        <v>4.5302953498329499</v>
      </c>
      <c r="HT34" s="48">
        <v>4.8405605675093604</v>
      </c>
      <c r="HU34" s="48">
        <v>3.5729593348889201</v>
      </c>
      <c r="HV34" s="48">
        <v>3.56111712250837</v>
      </c>
      <c r="HW34" s="48">
        <v>3.7502424183473102</v>
      </c>
      <c r="HX34" s="48">
        <v>4.2841734616301803</v>
      </c>
      <c r="HY34" s="48">
        <v>5.2859208992470501</v>
      </c>
      <c r="HZ34" s="48">
        <v>5.21456558880827</v>
      </c>
      <c r="IA34" s="48">
        <v>5.4522654078085502</v>
      </c>
    </row>
    <row r="35" spans="1:235">
      <c r="A35" s="12" t="s">
        <v>291</v>
      </c>
      <c r="B35" s="33" t="s">
        <v>230</v>
      </c>
      <c r="C35" s="12" t="s">
        <v>291</v>
      </c>
      <c r="D35" s="43" t="s">
        <v>236</v>
      </c>
      <c r="E35" s="43" t="s">
        <v>236</v>
      </c>
      <c r="F35" s="43" t="s">
        <v>236</v>
      </c>
      <c r="G35" s="43" t="s">
        <v>236</v>
      </c>
      <c r="H35" s="43" t="s">
        <v>236</v>
      </c>
      <c r="I35" s="43" t="s">
        <v>236</v>
      </c>
      <c r="J35" s="43" t="s">
        <v>236</v>
      </c>
      <c r="K35" s="43" t="s">
        <v>236</v>
      </c>
      <c r="L35" s="43" t="s">
        <v>236</v>
      </c>
      <c r="M35" s="43" t="s">
        <v>236</v>
      </c>
      <c r="N35" s="43" t="s">
        <v>236</v>
      </c>
      <c r="O35" s="43" t="s">
        <v>236</v>
      </c>
      <c r="P35" s="43" t="s">
        <v>236</v>
      </c>
      <c r="Q35" s="43" t="s">
        <v>236</v>
      </c>
      <c r="R35" s="43" t="s">
        <v>236</v>
      </c>
      <c r="S35" s="43" t="s">
        <v>236</v>
      </c>
      <c r="T35" s="43" t="s">
        <v>238</v>
      </c>
      <c r="U35" s="43" t="s">
        <v>197</v>
      </c>
      <c r="V35" s="43" t="s">
        <v>197</v>
      </c>
      <c r="W35" s="43">
        <v>18.309999999999999</v>
      </c>
      <c r="X35" s="43">
        <v>18.309999999999999</v>
      </c>
      <c r="Y35" s="43">
        <v>18.309754706217909</v>
      </c>
      <c r="Z35" s="43">
        <v>18.309851088201604</v>
      </c>
      <c r="AA35" s="43">
        <v>18.309851088201604</v>
      </c>
      <c r="AB35" s="43">
        <v>18.309851088201604</v>
      </c>
      <c r="AC35" s="43">
        <v>17.321462488129157</v>
      </c>
      <c r="AD35" s="43">
        <v>17.268595041322314</v>
      </c>
      <c r="AE35" s="43">
        <v>17.140799999999999</v>
      </c>
      <c r="AF35" s="43">
        <v>17</v>
      </c>
      <c r="AG35" s="43">
        <v>16.96153846153846</v>
      </c>
      <c r="AH35" s="43">
        <v>16.846153846153843</v>
      </c>
      <c r="AI35" s="43">
        <v>18.62857142857143</v>
      </c>
      <c r="AJ35" s="43" t="s">
        <v>197</v>
      </c>
      <c r="AK35" s="43" t="s">
        <v>197</v>
      </c>
      <c r="AL35" s="43">
        <v>15.308661084922255</v>
      </c>
      <c r="AM35" s="43">
        <v>16.316493782481537</v>
      </c>
      <c r="AN35" s="43">
        <v>16.242413876113371</v>
      </c>
      <c r="AO35" s="43">
        <v>16.144740250682499</v>
      </c>
      <c r="AP35" s="43">
        <v>17.592378877765416</v>
      </c>
      <c r="AQ35" s="43">
        <v>16.067640761907196</v>
      </c>
      <c r="AR35" s="43">
        <v>16.338123693044668</v>
      </c>
      <c r="AS35" s="43">
        <v>16.501772385731044</v>
      </c>
      <c r="AT35" s="43">
        <v>16.32746282588786</v>
      </c>
      <c r="AU35" s="43">
        <v>16.570164301484155</v>
      </c>
      <c r="AV35" s="43">
        <v>16.570164301484155</v>
      </c>
      <c r="AW35" s="43">
        <v>16.559856608671467</v>
      </c>
      <c r="AX35" s="43">
        <v>16.569488739220166</v>
      </c>
      <c r="AY35" s="43">
        <v>16.55309703578072</v>
      </c>
      <c r="AZ35" s="43">
        <v>16.547799018823657</v>
      </c>
      <c r="BA35" s="43">
        <v>16.5423220519456</v>
      </c>
      <c r="BB35" s="43">
        <v>16.513327306625328</v>
      </c>
      <c r="BC35" s="43">
        <v>16.558022467637308</v>
      </c>
      <c r="BD35" s="43">
        <v>16.57019778725704</v>
      </c>
      <c r="BE35" s="43">
        <v>16.594516004513618</v>
      </c>
      <c r="BF35" s="43">
        <v>16.878860480144361</v>
      </c>
      <c r="BG35" s="43">
        <v>16.887591035213553</v>
      </c>
      <c r="BH35" s="43">
        <v>16.902592219011257</v>
      </c>
      <c r="BI35" s="43">
        <v>16.807053209899358</v>
      </c>
      <c r="BJ35" s="43">
        <v>16.704302595126364</v>
      </c>
      <c r="BK35" s="43">
        <v>23.86041343787036</v>
      </c>
      <c r="BL35" s="43">
        <v>23.901380693211113</v>
      </c>
      <c r="BM35" s="43">
        <v>21.397504721939196</v>
      </c>
      <c r="BN35" s="43">
        <v>21.773395659970586</v>
      </c>
      <c r="BO35" s="43">
        <v>17.588169853906916</v>
      </c>
      <c r="BP35" s="43">
        <v>17.588213197312193</v>
      </c>
      <c r="BQ35" s="43">
        <v>21.797233398724511</v>
      </c>
      <c r="BR35" s="43">
        <v>24.389248594399412</v>
      </c>
      <c r="BS35" s="43">
        <v>21.904460752294138</v>
      </c>
      <c r="BT35" s="43">
        <v>21.963107820171437</v>
      </c>
      <c r="BU35" s="43">
        <v>21.960781022352009</v>
      </c>
      <c r="BV35" s="43">
        <v>22.011919701678064</v>
      </c>
      <c r="BW35" s="43">
        <v>22.030732802967055</v>
      </c>
      <c r="BX35" s="43">
        <v>22.017752904208116</v>
      </c>
      <c r="BY35" s="43">
        <v>8.1386261063905962</v>
      </c>
      <c r="BZ35" s="43">
        <v>8.0701913733218049</v>
      </c>
      <c r="CA35" s="43">
        <v>8.4924541212263094</v>
      </c>
      <c r="CB35" s="43">
        <v>7.9768651258717078</v>
      </c>
      <c r="CC35" s="43">
        <v>7.9235252202941515</v>
      </c>
      <c r="CD35" s="43">
        <v>8.0366836037469547</v>
      </c>
      <c r="CE35" s="43">
        <v>7.2641891247925434</v>
      </c>
      <c r="CF35" s="43">
        <v>7.4113889876585697</v>
      </c>
      <c r="CG35" s="43">
        <v>7.392280642546563</v>
      </c>
      <c r="CH35" s="43">
        <v>7.4007050690004554</v>
      </c>
      <c r="CI35" s="43">
        <v>7.5198658814823949</v>
      </c>
      <c r="CJ35" s="43">
        <v>7.5585940949249597</v>
      </c>
      <c r="CK35" s="43">
        <v>7.5303417387821554</v>
      </c>
      <c r="CL35" s="43">
        <v>7.50088136263967</v>
      </c>
      <c r="CM35" s="43">
        <v>7.4731762019674361</v>
      </c>
      <c r="CN35" s="43">
        <v>7.5142183042237836</v>
      </c>
      <c r="CO35" s="43">
        <v>7.5972440700108601</v>
      </c>
      <c r="CP35" s="43">
        <v>7.6667808963120665</v>
      </c>
      <c r="CQ35" s="43">
        <v>7.4126475857587701</v>
      </c>
      <c r="CR35" s="43">
        <v>7.4337979876884734</v>
      </c>
      <c r="CS35" s="43">
        <v>7.1277981437009155</v>
      </c>
      <c r="CT35" s="43">
        <v>6.9285822687257319</v>
      </c>
      <c r="CU35" s="43">
        <v>6.7295107738102606</v>
      </c>
      <c r="CV35" s="43">
        <v>6.6086268113959585</v>
      </c>
      <c r="CW35" s="43">
        <v>6.8056783121597091</v>
      </c>
      <c r="CX35" s="43">
        <v>6.8876925262011959</v>
      </c>
      <c r="CY35" s="43">
        <v>6.9904468923138561</v>
      </c>
      <c r="CZ35" s="43">
        <v>6.958463634688778</v>
      </c>
      <c r="DA35" s="43">
        <v>6.8086615519160425</v>
      </c>
      <c r="DB35" s="43">
        <v>6.8917282363006374</v>
      </c>
      <c r="DC35" s="43">
        <v>6.8705568660565897</v>
      </c>
      <c r="DD35" s="43">
        <v>6.8269679046849365</v>
      </c>
      <c r="DE35" s="43">
        <v>6.8222608144245047</v>
      </c>
      <c r="DF35" s="43">
        <v>6.8099701864054607</v>
      </c>
      <c r="DG35" s="43">
        <v>6.7702319608896087</v>
      </c>
      <c r="DH35" s="43">
        <v>6.7678294134928283</v>
      </c>
      <c r="DI35" s="43">
        <v>7.0137743197417022</v>
      </c>
      <c r="DJ35" s="43">
        <v>7.8007910190679981</v>
      </c>
      <c r="DK35" s="43">
        <v>7.0748849279597259</v>
      </c>
      <c r="DL35" s="43">
        <v>7.4437023251589078</v>
      </c>
      <c r="DM35" s="43">
        <v>7.090633424180889</v>
      </c>
      <c r="DN35" s="43">
        <v>7.072351565226775</v>
      </c>
      <c r="DO35" s="43">
        <v>7.069047161682704</v>
      </c>
      <c r="DP35" s="43">
        <v>7.2599455933946633</v>
      </c>
      <c r="DQ35" s="43">
        <v>7.4839826583152016</v>
      </c>
      <c r="DR35" s="43">
        <v>7.2281608262027532</v>
      </c>
      <c r="DS35" s="43">
        <v>7.9521787480256405</v>
      </c>
      <c r="DT35" s="43">
        <v>7.5002781942173025</v>
      </c>
      <c r="DU35" s="43">
        <v>7.5020574512726999</v>
      </c>
      <c r="DV35" s="43">
        <v>7.75</v>
      </c>
      <c r="DW35" s="43">
        <v>8.1940706663209593</v>
      </c>
      <c r="DX35" s="43">
        <v>8.1196988913953465</v>
      </c>
      <c r="DY35" s="43">
        <v>7.6036529998055489</v>
      </c>
      <c r="DZ35" s="43">
        <v>8.3552127766150974</v>
      </c>
      <c r="EA35" s="43">
        <v>9.0379118324895202</v>
      </c>
      <c r="EB35" s="43">
        <v>9.1490803425458953</v>
      </c>
      <c r="EC35" s="43">
        <v>9.1243347938882682</v>
      </c>
      <c r="ED35" s="43">
        <v>8.9150541082257053</v>
      </c>
      <c r="EE35" s="43">
        <v>11.444301062335702</v>
      </c>
      <c r="EF35" s="43">
        <v>11.438799544494007</v>
      </c>
      <c r="EG35" s="43">
        <v>10.722638141350142</v>
      </c>
      <c r="EH35" s="43">
        <v>10.743381118806749</v>
      </c>
      <c r="EI35" s="43">
        <v>10.956514954179488</v>
      </c>
      <c r="EJ35" s="43">
        <v>10.062678295404533</v>
      </c>
      <c r="EK35" s="43">
        <v>9.9260808440445718</v>
      </c>
      <c r="EL35" s="43">
        <v>9.7493904802152667</v>
      </c>
      <c r="EM35" s="43">
        <v>9.52909052438463</v>
      </c>
      <c r="EN35" s="43">
        <v>9.0603524795454451</v>
      </c>
      <c r="EO35" s="43">
        <v>8.1234789809653414</v>
      </c>
      <c r="EP35" s="43">
        <v>8.1279319053052106</v>
      </c>
      <c r="EQ35" s="43">
        <v>5.1418131588413232</v>
      </c>
      <c r="ER35" s="43">
        <v>4.8319656022554298</v>
      </c>
      <c r="ES35" s="43">
        <v>4.7932430403499726</v>
      </c>
      <c r="ET35" s="43">
        <v>4.7620883296499832</v>
      </c>
      <c r="EU35" s="43">
        <v>4.7499367321524772</v>
      </c>
      <c r="EV35" s="43">
        <v>4.1577722947897051</v>
      </c>
      <c r="EW35" s="43">
        <v>4.1120183771579315</v>
      </c>
      <c r="EX35" s="43">
        <v>5.9824633093214903</v>
      </c>
      <c r="EY35" s="43">
        <v>6.0897967351197373</v>
      </c>
      <c r="EZ35" s="43">
        <v>6.3274704465245719</v>
      </c>
      <c r="FA35" s="43">
        <v>6.1560939073346121</v>
      </c>
      <c r="FB35" s="43">
        <v>6.1847629718861281</v>
      </c>
      <c r="FC35" s="43">
        <v>6.1387297695685374</v>
      </c>
      <c r="FD35" s="43">
        <v>6.0216974478485907</v>
      </c>
      <c r="FE35" s="48">
        <v>6.0563835635224743</v>
      </c>
      <c r="FF35" s="48">
        <v>6.0163451986196783</v>
      </c>
      <c r="FG35" s="48">
        <v>6.4012427060842256</v>
      </c>
      <c r="FH35" s="48">
        <v>6.3996243911129733</v>
      </c>
      <c r="FI35" s="48">
        <v>6.378265458382069</v>
      </c>
      <c r="FJ35" s="48">
        <v>6.3590967846870639</v>
      </c>
      <c r="FK35" s="48">
        <v>6.3839288787562287</v>
      </c>
      <c r="FL35" s="48">
        <v>6.3764311916490293</v>
      </c>
      <c r="FM35" s="48">
        <v>6.349016013621454</v>
      </c>
      <c r="FN35" s="48">
        <v>6.7112702554120318</v>
      </c>
      <c r="FO35" s="48">
        <v>8.4776445121036534</v>
      </c>
      <c r="FP35" s="48">
        <v>8.4728162227980484</v>
      </c>
      <c r="FQ35" s="48">
        <v>3.9489539897644295</v>
      </c>
      <c r="FR35" s="48">
        <v>7.8145772259454986</v>
      </c>
      <c r="FS35" s="48">
        <v>7.9007219029466764</v>
      </c>
      <c r="FT35" s="48">
        <v>7.9894291071147263</v>
      </c>
      <c r="FU35" s="48">
        <v>8.8653986030764127</v>
      </c>
      <c r="FV35" s="48">
        <v>7.8159064612388338</v>
      </c>
      <c r="FW35" s="48">
        <v>7.8917331154902737</v>
      </c>
      <c r="FX35" s="48">
        <v>8.2417457580962861</v>
      </c>
      <c r="FY35" s="48">
        <v>8.1794505042954349</v>
      </c>
      <c r="FZ35" s="48">
        <v>8.1921871178490662</v>
      </c>
      <c r="GA35" s="47">
        <v>7.9710346176224363</v>
      </c>
      <c r="GB35" s="47">
        <v>7.8701275614120929</v>
      </c>
      <c r="GC35" s="47">
        <v>7.8287794874134597</v>
      </c>
      <c r="GD35" s="47">
        <v>5.126517829447014</v>
      </c>
      <c r="GE35" s="48">
        <v>5.1381776501025058</v>
      </c>
      <c r="GF35" s="48">
        <v>5.143420602858515</v>
      </c>
      <c r="GG35" s="48">
        <v>5.1552728838274211</v>
      </c>
      <c r="GH35" s="48">
        <v>5.1740379406182599</v>
      </c>
      <c r="GI35" s="48">
        <v>5.1806626140871801</v>
      </c>
      <c r="GJ35" s="48">
        <v>5.1845043521954199</v>
      </c>
      <c r="GK35" s="48">
        <v>5.1873904373587303</v>
      </c>
      <c r="GL35" s="48">
        <v>5.1884053223943898</v>
      </c>
      <c r="GM35" s="48">
        <v>5.2060747567441199</v>
      </c>
      <c r="GN35" s="48">
        <v>5.2446041458997898</v>
      </c>
      <c r="GO35" s="48">
        <v>5.2499571389068098</v>
      </c>
      <c r="GP35" s="48">
        <v>5.2391394208969801</v>
      </c>
      <c r="GQ35" s="48">
        <v>5.2391394208969801</v>
      </c>
      <c r="GR35" s="48">
        <v>5.2519536465625496</v>
      </c>
      <c r="GS35" s="48">
        <v>5.2588135697802496</v>
      </c>
      <c r="GT35" s="48">
        <v>5.2497889191874103</v>
      </c>
      <c r="GU35" s="48">
        <v>5.2482069679456798</v>
      </c>
      <c r="GV35" s="48">
        <v>5.2335771771567199</v>
      </c>
      <c r="GW35" s="48">
        <v>5.1730439397820103</v>
      </c>
      <c r="GX35" s="48">
        <v>5.2397176378013297</v>
      </c>
      <c r="GY35" s="48">
        <v>5.2524687318394498</v>
      </c>
      <c r="GZ35" s="48">
        <v>5.1976909509440103</v>
      </c>
      <c r="HA35" s="48">
        <v>5.22618424913317</v>
      </c>
      <c r="HB35" s="48">
        <v>5.2136250596724096</v>
      </c>
      <c r="HC35" s="48">
        <v>5.1985772842887901</v>
      </c>
      <c r="HD35" s="48">
        <v>5.19366646478265</v>
      </c>
      <c r="HE35" s="48">
        <v>5.2094985892816696</v>
      </c>
      <c r="HF35" s="48">
        <v>5.2673328428975301</v>
      </c>
      <c r="HG35" s="48">
        <v>5.2703745854543902</v>
      </c>
      <c r="HH35" s="48">
        <v>5.2676935193613597</v>
      </c>
      <c r="HI35" s="48">
        <v>5.2618743421994303</v>
      </c>
      <c r="HJ35" s="48">
        <v>5.2549670164778002</v>
      </c>
      <c r="HK35" s="48">
        <v>5.2262977998740299</v>
      </c>
      <c r="HL35" s="48">
        <v>5.2142123982313802</v>
      </c>
      <c r="HM35" s="48">
        <v>5.2248006060945302</v>
      </c>
      <c r="HN35" s="48">
        <v>4.6021326189943697</v>
      </c>
      <c r="HO35" s="48">
        <v>4.5317864808146702</v>
      </c>
      <c r="HP35" s="48">
        <v>4.4793075490166299</v>
      </c>
      <c r="HQ35" s="48">
        <v>4.44471174204637</v>
      </c>
      <c r="HR35" s="48">
        <v>4.4446227976608004</v>
      </c>
      <c r="HS35" s="48">
        <v>4.4315238759466498</v>
      </c>
      <c r="HT35" s="48">
        <v>4.4374424120288998</v>
      </c>
      <c r="HU35" s="48">
        <v>4.4296685634917701</v>
      </c>
      <c r="HV35" s="48">
        <v>4.4267806100100797</v>
      </c>
      <c r="HW35" s="48">
        <v>4.4234873407845203</v>
      </c>
      <c r="HX35" s="48">
        <v>4.4210129620038101</v>
      </c>
      <c r="HY35" s="48">
        <v>4.4145116223107603</v>
      </c>
      <c r="HZ35" s="48">
        <v>4.4028569262555601</v>
      </c>
      <c r="IA35" s="48">
        <v>4.4111015242666101</v>
      </c>
    </row>
    <row r="36" spans="1:235">
      <c r="B36" s="21" t="s">
        <v>237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</row>
    <row r="37" spans="1:235">
      <c r="A37" s="12" t="s">
        <v>292</v>
      </c>
      <c r="B37" s="33" t="s">
        <v>219</v>
      </c>
      <c r="C37" s="12" t="s">
        <v>292</v>
      </c>
      <c r="D37" s="43">
        <v>16.920000000000002</v>
      </c>
      <c r="E37" s="43">
        <v>12.24</v>
      </c>
      <c r="F37" s="43">
        <v>13.48</v>
      </c>
      <c r="G37" s="43">
        <v>14.89</v>
      </c>
      <c r="H37" s="43">
        <v>12</v>
      </c>
      <c r="I37" s="43">
        <v>12.8</v>
      </c>
      <c r="J37" s="43">
        <v>12.74</v>
      </c>
      <c r="K37" s="43">
        <v>12.71</v>
      </c>
      <c r="L37" s="43">
        <v>12.71</v>
      </c>
      <c r="M37" s="43">
        <v>12</v>
      </c>
      <c r="N37" s="43">
        <v>12.17</v>
      </c>
      <c r="O37" s="43">
        <v>10.510995948683323</v>
      </c>
      <c r="P37" s="43">
        <v>10.89</v>
      </c>
      <c r="Q37" s="43">
        <v>10.73</v>
      </c>
      <c r="R37" s="43">
        <v>10.83</v>
      </c>
      <c r="S37" s="43">
        <v>10.92</v>
      </c>
      <c r="T37" s="43">
        <v>8.1470106236927595</v>
      </c>
      <c r="U37" s="43">
        <v>12.017461148052869</v>
      </c>
      <c r="V37" s="43">
        <v>11.83</v>
      </c>
      <c r="W37" s="43">
        <v>11.802995507607285</v>
      </c>
      <c r="X37" s="43">
        <v>12.922794260548514</v>
      </c>
      <c r="Y37" s="43">
        <v>12.429885540238766</v>
      </c>
      <c r="Z37" s="43">
        <v>13.585176147972481</v>
      </c>
      <c r="AA37" s="43">
        <v>14.389741119892982</v>
      </c>
      <c r="AB37" s="43">
        <v>14.858854453310999</v>
      </c>
      <c r="AC37" s="43">
        <v>13.56</v>
      </c>
      <c r="AD37" s="43">
        <v>14.07</v>
      </c>
      <c r="AE37" s="43">
        <v>14.008646912128242</v>
      </c>
      <c r="AF37" s="43">
        <v>13.46</v>
      </c>
      <c r="AG37" s="43">
        <v>13.46</v>
      </c>
      <c r="AH37" s="43">
        <v>12.99</v>
      </c>
      <c r="AI37" s="43">
        <v>13.226100045193014</v>
      </c>
      <c r="AJ37" s="43">
        <v>14.54246276989884</v>
      </c>
      <c r="AK37" s="43">
        <v>14.301916293761417</v>
      </c>
      <c r="AL37" s="43">
        <v>13.716648686917432</v>
      </c>
      <c r="AM37" s="43">
        <v>14.243274587397426</v>
      </c>
      <c r="AN37" s="43">
        <v>13.49927211761854</v>
      </c>
      <c r="AO37" s="43">
        <v>14.68809890659967</v>
      </c>
      <c r="AP37" s="43">
        <v>14.776353179959948</v>
      </c>
      <c r="AQ37" s="43">
        <v>13.258436722974414</v>
      </c>
      <c r="AR37" s="43">
        <v>13.246225601768586</v>
      </c>
      <c r="AS37" s="43">
        <v>13.998807539925293</v>
      </c>
      <c r="AT37" s="43">
        <v>14.288135794014915</v>
      </c>
      <c r="AU37" s="43">
        <v>14.387967151474909</v>
      </c>
      <c r="AV37" s="43">
        <v>14.353219570984095</v>
      </c>
      <c r="AW37" s="43">
        <v>15.389877216061379</v>
      </c>
      <c r="AX37" s="43">
        <v>15.216883175787004</v>
      </c>
      <c r="AY37" s="43">
        <v>15.75</v>
      </c>
      <c r="AZ37" s="43">
        <v>15.257978585364061</v>
      </c>
      <c r="BA37" s="43">
        <v>16.169769148014137</v>
      </c>
      <c r="BB37" s="43">
        <v>15.879835549259136</v>
      </c>
      <c r="BC37" s="43">
        <v>14.743074776879059</v>
      </c>
      <c r="BD37" s="43">
        <v>15.24150683059816</v>
      </c>
      <c r="BE37" s="43">
        <v>14.896458993241087</v>
      </c>
      <c r="BF37" s="43">
        <v>14.76</v>
      </c>
      <c r="BG37" s="43">
        <v>14.573027229924994</v>
      </c>
      <c r="BH37" s="43">
        <v>15.123587257947719</v>
      </c>
      <c r="BI37" s="43">
        <v>15.024009216115598</v>
      </c>
      <c r="BJ37" s="43">
        <v>12.760194743037617</v>
      </c>
      <c r="BK37" s="43">
        <v>9.9357727686243607</v>
      </c>
      <c r="BL37" s="43">
        <v>9.7384961106722621</v>
      </c>
      <c r="BM37" s="43">
        <v>8.6961249179488362</v>
      </c>
      <c r="BN37" s="43">
        <v>9.2518697816428865</v>
      </c>
      <c r="BO37" s="43">
        <v>12.17170572662347</v>
      </c>
      <c r="BP37" s="43">
        <v>9.9170505662761652</v>
      </c>
      <c r="BQ37" s="43">
        <v>10.969615324292429</v>
      </c>
      <c r="BR37" s="43">
        <v>12.846243945771587</v>
      </c>
      <c r="BS37" s="43">
        <v>11.303602836769516</v>
      </c>
      <c r="BT37" s="43">
        <v>11.58</v>
      </c>
      <c r="BU37" s="43">
        <v>11.879185050287857</v>
      </c>
      <c r="BV37" s="43">
        <v>10.780263230238857</v>
      </c>
      <c r="BW37" s="43">
        <v>10.378392503050124</v>
      </c>
      <c r="BX37" s="43">
        <v>10.393442603270101</v>
      </c>
      <c r="BY37" s="43">
        <v>9.986973468740592</v>
      </c>
      <c r="BZ37" s="43">
        <v>9.8240781800577146</v>
      </c>
      <c r="CA37" s="43">
        <v>5.2115724201522324</v>
      </c>
      <c r="CB37" s="43">
        <v>9.09522793246677</v>
      </c>
      <c r="CC37" s="43">
        <v>9.434989704119646</v>
      </c>
      <c r="CD37" s="43">
        <v>9.2449133677021305</v>
      </c>
      <c r="CE37" s="43">
        <v>5.7337987171179954</v>
      </c>
      <c r="CF37" s="43">
        <v>5.4445772796542666</v>
      </c>
      <c r="CG37" s="43">
        <v>7.8228396893466332</v>
      </c>
      <c r="CH37" s="43">
        <v>6.7354781184605592</v>
      </c>
      <c r="CI37" s="43">
        <v>8.4969117920491311</v>
      </c>
      <c r="CJ37" s="43">
        <v>8.1608335401565189</v>
      </c>
      <c r="CK37" s="43">
        <v>7.9896471876227739</v>
      </c>
      <c r="CL37" s="43">
        <v>7.948826984636832</v>
      </c>
      <c r="CM37" s="43">
        <v>6.406359798478789</v>
      </c>
      <c r="CN37" s="43">
        <v>9.0944513676909438</v>
      </c>
      <c r="CO37" s="43">
        <v>7.4363672285509006</v>
      </c>
      <c r="CP37" s="43">
        <v>7.4815176161491319</v>
      </c>
      <c r="CQ37" s="43">
        <v>7.2218266089664649</v>
      </c>
      <c r="CR37" s="43">
        <v>6.8285063272332271</v>
      </c>
      <c r="CS37" s="43">
        <v>6.7117263794963895</v>
      </c>
      <c r="CT37" s="43">
        <v>5.7833194873034008</v>
      </c>
      <c r="CU37" s="43">
        <v>5.5561578113859413</v>
      </c>
      <c r="CV37" s="43">
        <v>5.3892096618450287</v>
      </c>
      <c r="CW37" s="43">
        <v>5.6043901957480395</v>
      </c>
      <c r="CX37" s="43">
        <v>3.9317940668518214</v>
      </c>
      <c r="CY37" s="43">
        <v>5.3300313138406832</v>
      </c>
      <c r="CZ37" s="43">
        <v>3.9317940668518214</v>
      </c>
      <c r="DA37" s="43">
        <v>4.9164414928507378</v>
      </c>
      <c r="DB37" s="43">
        <v>4.8290317764360573</v>
      </c>
      <c r="DC37" s="43">
        <v>4.7027730001899846</v>
      </c>
      <c r="DD37" s="43">
        <v>4.6903591620489884</v>
      </c>
      <c r="DE37" s="43">
        <v>4.8835084778062452</v>
      </c>
      <c r="DF37" s="43">
        <v>4.0328181842894368</v>
      </c>
      <c r="DG37" s="43">
        <v>3.7597658795531235</v>
      </c>
      <c r="DH37" s="43">
        <v>3.9215026569221423</v>
      </c>
      <c r="DI37" s="43">
        <v>4.0761969384712327</v>
      </c>
      <c r="DJ37" s="43">
        <v>4.6876403073642123</v>
      </c>
      <c r="DK37" s="43">
        <v>4.440639730284845</v>
      </c>
      <c r="DL37" s="43">
        <v>4.1833509847964638</v>
      </c>
      <c r="DM37" s="43">
        <v>5.2854164264235699</v>
      </c>
      <c r="DN37" s="43">
        <v>4.8196328564984832</v>
      </c>
      <c r="DO37" s="43">
        <v>4.2653664838556633</v>
      </c>
      <c r="DP37" s="43">
        <v>4.2233262431956051</v>
      </c>
      <c r="DQ37" s="43">
        <v>5.0071855458082339</v>
      </c>
      <c r="DR37" s="43">
        <v>4.6342922276313452</v>
      </c>
      <c r="DS37" s="43">
        <v>5.0281556552820428</v>
      </c>
      <c r="DT37" s="43">
        <v>4.5651785827902556</v>
      </c>
      <c r="DU37" s="43">
        <v>4.3966045168836834</v>
      </c>
      <c r="DV37" s="43">
        <v>4.78</v>
      </c>
      <c r="DW37" s="43">
        <v>5.1346397291594945</v>
      </c>
      <c r="DX37" s="43">
        <v>5.0843673080476375</v>
      </c>
      <c r="DY37" s="43">
        <v>5.3546809717776815</v>
      </c>
      <c r="DZ37" s="43">
        <v>5.4611620543607877</v>
      </c>
      <c r="EA37" s="43">
        <v>5.6202787025486218</v>
      </c>
      <c r="EB37" s="43">
        <v>5.0933071175614275</v>
      </c>
      <c r="EC37" s="43">
        <v>5.073025065844563</v>
      </c>
      <c r="ED37" s="43">
        <v>5.2265579921445697</v>
      </c>
      <c r="EE37" s="43">
        <v>5.0107639592155904</v>
      </c>
      <c r="EF37" s="43">
        <v>5.8927769538458401</v>
      </c>
      <c r="EG37" s="43">
        <v>5.5956879363860201</v>
      </c>
      <c r="EH37" s="43">
        <v>5.2827638739411196</v>
      </c>
      <c r="EI37" s="43">
        <v>4.8251730940978801</v>
      </c>
      <c r="EJ37" s="43">
        <v>4.5285504587531369</v>
      </c>
      <c r="EK37" s="43">
        <v>4.5513133702539443</v>
      </c>
      <c r="EL37" s="43">
        <v>4.4906427477746416</v>
      </c>
      <c r="EM37" s="43">
        <v>4.3423832249306198</v>
      </c>
      <c r="EN37" s="43">
        <v>5.1091155477064261</v>
      </c>
      <c r="EO37" s="43">
        <v>5.4188749940763721</v>
      </c>
      <c r="EP37" s="43">
        <v>5.3599661184697238</v>
      </c>
      <c r="EQ37" s="43">
        <v>5.41794670091969</v>
      </c>
      <c r="ER37" s="43">
        <v>5.4350029989902113</v>
      </c>
      <c r="ES37" s="43">
        <v>5.4242515244904821</v>
      </c>
      <c r="ET37" s="43">
        <v>9.0086103462322207</v>
      </c>
      <c r="EU37" s="43">
        <v>9.5014722148720789</v>
      </c>
      <c r="EV37" s="43">
        <v>9.4494553446086034</v>
      </c>
      <c r="EW37" s="43">
        <v>9.7440425915983546</v>
      </c>
      <c r="EX37" s="43">
        <v>9.5383813600454097</v>
      </c>
      <c r="EY37" s="43">
        <v>10.026237837491047</v>
      </c>
      <c r="EZ37" s="43">
        <v>9.7274731624376116</v>
      </c>
      <c r="FA37" s="43">
        <v>9.76</v>
      </c>
      <c r="FB37" s="43">
        <v>9.9702919392385301</v>
      </c>
      <c r="FC37" s="43">
        <v>10.224279841960197</v>
      </c>
      <c r="FD37" s="43">
        <v>10.706573078805647</v>
      </c>
      <c r="FE37" s="48">
        <v>4.9257167447122843</v>
      </c>
      <c r="FF37" s="48">
        <v>6.46</v>
      </c>
      <c r="FG37" s="48">
        <v>6.8351377987234896</v>
      </c>
      <c r="FH37" s="48">
        <v>5.0881340284685193</v>
      </c>
      <c r="FI37" s="48">
        <v>5.18</v>
      </c>
      <c r="FJ37" s="48">
        <v>5.7430721833938545</v>
      </c>
      <c r="FK37" s="48">
        <v>4.3459290678370577</v>
      </c>
      <c r="FL37" s="48">
        <v>4.8629647492222112</v>
      </c>
      <c r="FM37" s="48">
        <v>4.8637520312496259</v>
      </c>
      <c r="FN37" s="48">
        <v>4.9751383001910057</v>
      </c>
      <c r="FO37" s="48">
        <v>4.7267807446091288</v>
      </c>
      <c r="FP37" s="48">
        <v>4.9339945955053777</v>
      </c>
      <c r="FQ37" s="48">
        <v>3.2915043008065359</v>
      </c>
      <c r="FR37" s="48">
        <v>3.3317049355438804</v>
      </c>
      <c r="FS37" s="48">
        <v>2.7400247692057946</v>
      </c>
      <c r="FT37" s="48">
        <v>2.7280072599702203</v>
      </c>
      <c r="FU37" s="48">
        <v>2.4134215429116379</v>
      </c>
      <c r="FV37" s="48">
        <v>2.3306897017898023</v>
      </c>
      <c r="FW37" s="48">
        <v>3.4150612491771266</v>
      </c>
      <c r="FX37" s="48">
        <v>3.4296107377930261</v>
      </c>
      <c r="FY37" s="48">
        <v>3.6181403796157587</v>
      </c>
      <c r="FZ37" s="48">
        <v>2.9806494357709568</v>
      </c>
      <c r="GA37" s="48">
        <v>3.0364617451834142</v>
      </c>
      <c r="GB37" s="47">
        <v>3.3988138067689735</v>
      </c>
      <c r="GC37" s="47">
        <v>3.6679789804180003</v>
      </c>
      <c r="GD37" s="47">
        <v>3.3478879261335854</v>
      </c>
      <c r="GE37" s="47">
        <v>3.3287159459911599</v>
      </c>
      <c r="GF37" s="48">
        <v>3.4929068804788264</v>
      </c>
      <c r="GG37" s="48">
        <v>3.7802831804027632</v>
      </c>
      <c r="GH37" s="48">
        <v>3.6665960673210898</v>
      </c>
      <c r="GI37" s="48">
        <v>4.1802026155046601</v>
      </c>
      <c r="GJ37" s="48">
        <v>4.1723665845453999</v>
      </c>
      <c r="GK37" s="48">
        <v>4.1700242100114897</v>
      </c>
      <c r="GL37" s="48">
        <v>4.1722913017980101</v>
      </c>
      <c r="GM37" s="48">
        <v>4.9166666666666696</v>
      </c>
      <c r="GN37" s="48">
        <v>5</v>
      </c>
      <c r="GO37" s="48">
        <v>4.0681898380430503</v>
      </c>
      <c r="GP37" s="48">
        <v>4.9166666666666696</v>
      </c>
      <c r="GQ37" s="48">
        <v>4.9166666666666696</v>
      </c>
      <c r="GR37" s="48">
        <v>4.9097543176842597</v>
      </c>
      <c r="GS37" s="48">
        <v>4.9776576472956302</v>
      </c>
      <c r="GT37" s="48">
        <v>4.9768823661240198</v>
      </c>
      <c r="GU37" s="48">
        <v>4.9656128233382901</v>
      </c>
      <c r="GV37" s="48">
        <v>4.9583079663577498</v>
      </c>
      <c r="GW37" s="48">
        <v>4.9544663410252099</v>
      </c>
      <c r="GX37" s="48">
        <v>4.9504640500950501</v>
      </c>
      <c r="GY37" s="48">
        <v>4.4591170046654698</v>
      </c>
      <c r="GZ37" s="48">
        <v>4.4589870922407204</v>
      </c>
      <c r="HA37" s="48">
        <v>4.45967212495336</v>
      </c>
      <c r="HB37" s="48">
        <v>4.49705882352941</v>
      </c>
      <c r="HC37" s="48">
        <v>4.2869747899159698</v>
      </c>
      <c r="HD37" s="48">
        <v>4.2841390179082701</v>
      </c>
      <c r="HE37" s="48">
        <v>2.8252222788258798</v>
      </c>
      <c r="HF37" s="48">
        <v>3.14169942623055</v>
      </c>
      <c r="HG37" s="48">
        <v>3.13152071539248</v>
      </c>
      <c r="HH37" s="48">
        <v>3.3820165883683799</v>
      </c>
      <c r="HI37" s="48">
        <v>3.3868382234452699</v>
      </c>
      <c r="HJ37" s="48">
        <v>3.3903184751374602</v>
      </c>
      <c r="HK37" s="48">
        <v>3.5243871102939499</v>
      </c>
      <c r="HL37" s="48">
        <v>3.8379491149663898</v>
      </c>
      <c r="HM37" s="48">
        <v>4.5356322140093397</v>
      </c>
      <c r="HN37" s="48">
        <v>4.35829954705991</v>
      </c>
      <c r="HO37" s="48">
        <v>5.0359995210223998</v>
      </c>
      <c r="HP37" s="48">
        <v>5.2853464731521296</v>
      </c>
      <c r="HQ37" s="48">
        <v>5.3324500136061497</v>
      </c>
      <c r="HR37" s="48">
        <v>5.1186439592002504</v>
      </c>
      <c r="HS37" s="48">
        <v>5.4857136657618204</v>
      </c>
      <c r="HT37" s="48">
        <v>5.77</v>
      </c>
      <c r="HU37" s="48">
        <v>5.9370555734409898</v>
      </c>
      <c r="HV37" s="48">
        <v>6.8505692647688301</v>
      </c>
      <c r="HW37" s="48">
        <v>6.0680916227662403</v>
      </c>
      <c r="HX37" s="48">
        <v>6.4307310006237604</v>
      </c>
      <c r="HY37" s="48">
        <v>6.2467893388095597</v>
      </c>
      <c r="HZ37" s="48">
        <v>6.9226321189428504</v>
      </c>
      <c r="IA37" s="48">
        <v>7.1863312346033803</v>
      </c>
    </row>
    <row r="38" spans="1:235">
      <c r="A38" s="12" t="s">
        <v>293</v>
      </c>
      <c r="B38" s="34" t="s">
        <v>231</v>
      </c>
      <c r="C38" s="12" t="s">
        <v>293</v>
      </c>
      <c r="D38" s="43" t="s">
        <v>238</v>
      </c>
      <c r="E38" s="43">
        <v>8.69</v>
      </c>
      <c r="F38" s="43">
        <v>8.33</v>
      </c>
      <c r="G38" s="43">
        <v>14.96</v>
      </c>
      <c r="H38" s="43">
        <v>9.7899999999999991</v>
      </c>
      <c r="I38" s="43">
        <v>14.47</v>
      </c>
      <c r="J38" s="43">
        <v>13.26</v>
      </c>
      <c r="K38" s="43">
        <v>14.26</v>
      </c>
      <c r="L38" s="43">
        <v>14.26</v>
      </c>
      <c r="M38" s="43">
        <v>11.14</v>
      </c>
      <c r="N38" s="43">
        <v>14.71</v>
      </c>
      <c r="O38" s="43">
        <v>9.23</v>
      </c>
      <c r="P38" s="43">
        <v>5.95</v>
      </c>
      <c r="Q38" s="43">
        <v>9.98</v>
      </c>
      <c r="R38" s="43">
        <v>2.4700000000000002</v>
      </c>
      <c r="S38" s="43">
        <v>3.27</v>
      </c>
      <c r="T38" s="43">
        <v>8.01</v>
      </c>
      <c r="U38" s="43">
        <v>4.7</v>
      </c>
      <c r="V38" s="43">
        <v>1.9</v>
      </c>
      <c r="W38" s="43">
        <v>9.4700000000000006</v>
      </c>
      <c r="X38" s="43">
        <v>8.14</v>
      </c>
      <c r="Y38" s="43">
        <v>8.0399999999999991</v>
      </c>
      <c r="Z38" s="43">
        <v>11.223799420255208</v>
      </c>
      <c r="AA38" s="43">
        <v>8.1324674815090923</v>
      </c>
      <c r="AB38" s="43">
        <v>8.7287459534453511</v>
      </c>
      <c r="AC38" s="43">
        <v>9.889504419191919</v>
      </c>
      <c r="AD38" s="43">
        <v>7.63</v>
      </c>
      <c r="AE38" s="43">
        <v>10.88</v>
      </c>
      <c r="AF38" s="43">
        <v>11.75</v>
      </c>
      <c r="AG38" s="43">
        <v>7.66</v>
      </c>
      <c r="AH38" s="43">
        <v>7.2441978076050413</v>
      </c>
      <c r="AI38" s="43">
        <v>11.072863565903429</v>
      </c>
      <c r="AJ38" s="43">
        <v>12.094472583131468</v>
      </c>
      <c r="AK38" s="43">
        <v>9.3283260809184334</v>
      </c>
      <c r="AL38" s="43">
        <v>9.1104966325357282</v>
      </c>
      <c r="AM38" s="43">
        <v>14.181425120401286</v>
      </c>
      <c r="AN38" s="43">
        <v>4.8428761887832188</v>
      </c>
      <c r="AO38" s="43">
        <v>14.296773678644826</v>
      </c>
      <c r="AP38" s="43">
        <v>12.621281929670031</v>
      </c>
      <c r="AQ38" s="43">
        <v>11.617206419570662</v>
      </c>
      <c r="AR38" s="43">
        <v>11.967582854731635</v>
      </c>
      <c r="AS38" s="43">
        <v>11.422275898011545</v>
      </c>
      <c r="AT38" s="43">
        <v>12.940199409322052</v>
      </c>
      <c r="AU38" s="43">
        <v>10.372821417344836</v>
      </c>
      <c r="AV38" s="43">
        <v>9.31</v>
      </c>
      <c r="AW38" s="43">
        <v>15.771536574043372</v>
      </c>
      <c r="AX38" s="43">
        <v>12.510099278516487</v>
      </c>
      <c r="AY38" s="43">
        <v>14.222222222222221</v>
      </c>
      <c r="AZ38" s="43" t="s">
        <v>197</v>
      </c>
      <c r="BA38" s="43">
        <v>10.880025577491809</v>
      </c>
      <c r="BB38" s="43">
        <v>24.003541912632819</v>
      </c>
      <c r="BC38" s="43">
        <v>14.925387096774193</v>
      </c>
      <c r="BD38" s="43">
        <v>17.502563628805028</v>
      </c>
      <c r="BE38" s="43" t="s">
        <v>197</v>
      </c>
      <c r="BF38" s="43">
        <v>10.46</v>
      </c>
      <c r="BG38" s="43">
        <v>13.436666933629281</v>
      </c>
      <c r="BH38" s="43">
        <v>12.856087163810752</v>
      </c>
      <c r="BI38" s="43">
        <v>5.6043414735963264</v>
      </c>
      <c r="BJ38" s="43">
        <v>7.9014534568073591</v>
      </c>
      <c r="BK38" s="43">
        <v>2.8666380341749242</v>
      </c>
      <c r="BL38" s="43">
        <v>4.4611335780501467</v>
      </c>
      <c r="BM38" s="43">
        <v>3.3873386547045756</v>
      </c>
      <c r="BN38" s="43">
        <v>4.2204120933896805</v>
      </c>
      <c r="BO38" s="43">
        <v>15.37102358796797</v>
      </c>
      <c r="BP38" s="43">
        <v>6.6912581095666779</v>
      </c>
      <c r="BQ38" s="43">
        <v>6.1741796008869176</v>
      </c>
      <c r="BR38" s="43">
        <v>9.6205443418509784</v>
      </c>
      <c r="BS38" s="43">
        <v>17.399883094109242</v>
      </c>
      <c r="BT38" s="43">
        <v>17.29</v>
      </c>
      <c r="BU38" s="43">
        <v>7.7120317870038724</v>
      </c>
      <c r="BV38" s="43">
        <v>7.2964779060396587</v>
      </c>
      <c r="BW38" s="43">
        <v>2.1339132595998507</v>
      </c>
      <c r="BX38" s="43">
        <v>8.0727702387472355</v>
      </c>
      <c r="BY38" s="43">
        <v>1.2201834862385319</v>
      </c>
      <c r="BZ38" s="43">
        <v>6.8509187565006355</v>
      </c>
      <c r="CA38" s="43">
        <v>0.48415765220067231</v>
      </c>
      <c r="CB38" s="43">
        <v>10.60593155893536</v>
      </c>
      <c r="CC38" s="43">
        <v>7.7060389688974951</v>
      </c>
      <c r="CD38" s="43">
        <v>9.0975782395469924</v>
      </c>
      <c r="CE38" s="43">
        <v>1.0001332593003887</v>
      </c>
      <c r="CF38" s="43">
        <v>0.20929425804123997</v>
      </c>
      <c r="CG38" s="43">
        <v>2.5546187683284458</v>
      </c>
      <c r="CH38" s="43">
        <v>5.8568850819600851</v>
      </c>
      <c r="CI38" s="43">
        <v>7.9992276975756216</v>
      </c>
      <c r="CJ38" s="43">
        <v>6.4885358562667577</v>
      </c>
      <c r="CK38" s="43">
        <v>7.9981081854608922</v>
      </c>
      <c r="CL38" s="43">
        <v>7.9814035574487239</v>
      </c>
      <c r="CM38" s="43">
        <v>3.577840145279592</v>
      </c>
      <c r="CN38" s="43">
        <v>6.07</v>
      </c>
      <c r="CO38" s="43">
        <v>8.8225549854830358</v>
      </c>
      <c r="CP38" s="43">
        <v>8.6094498827368202</v>
      </c>
      <c r="CQ38" s="43">
        <v>9.0042840087084759</v>
      </c>
      <c r="CR38" s="43">
        <v>7.8492876224398946</v>
      </c>
      <c r="CS38" s="43">
        <v>5.8339123396391299</v>
      </c>
      <c r="CT38" s="43">
        <v>3.6792280059167428</v>
      </c>
      <c r="CU38" s="43">
        <v>4.192778467471407</v>
      </c>
      <c r="CV38" s="43">
        <v>4.127046296487924</v>
      </c>
      <c r="CW38" s="43">
        <v>4.6483853126971377</v>
      </c>
      <c r="CX38" s="43">
        <v>1.20952063174285</v>
      </c>
      <c r="CY38" s="43">
        <v>1.3179516608155599</v>
      </c>
      <c r="CZ38" s="43">
        <v>1.20952063174285</v>
      </c>
      <c r="DA38" s="43">
        <v>1.49274181492002</v>
      </c>
      <c r="DB38" s="43">
        <v>2.2383673815536498</v>
      </c>
      <c r="DC38" s="43">
        <v>3.2540332692209302</v>
      </c>
      <c r="DD38" s="43">
        <v>3.4975563971247099</v>
      </c>
      <c r="DE38" s="43">
        <v>3.64827624996924</v>
      </c>
      <c r="DF38" s="43">
        <v>3.51737351190476</v>
      </c>
      <c r="DG38" s="43">
        <v>3.1951273711035602</v>
      </c>
      <c r="DH38" s="43">
        <v>3.1592252077153602</v>
      </c>
      <c r="DI38" s="43">
        <v>2.7500787266881499</v>
      </c>
      <c r="DJ38" s="43">
        <v>3.7326858441419102</v>
      </c>
      <c r="DK38" s="43">
        <v>3.7533543024446798</v>
      </c>
      <c r="DL38" s="43">
        <v>2.1201887390522498</v>
      </c>
      <c r="DM38" s="43">
        <v>3.4887078582328401</v>
      </c>
      <c r="DN38" s="43">
        <v>4.7467054172776901</v>
      </c>
      <c r="DO38" s="43">
        <v>4.0695950149496696</v>
      </c>
      <c r="DP38" s="43">
        <v>3.6407655615144701</v>
      </c>
      <c r="DQ38" s="43">
        <v>4.1451303496853997</v>
      </c>
      <c r="DR38" s="43">
        <v>4.0625666857179503</v>
      </c>
      <c r="DS38" s="43">
        <v>4.5342016403351204</v>
      </c>
      <c r="DT38" s="43">
        <v>3.5116242567225999</v>
      </c>
      <c r="DU38" s="43">
        <v>3.0701399110752701</v>
      </c>
      <c r="DV38" s="43">
        <v>3.86</v>
      </c>
      <c r="DW38" s="43">
        <v>3.0021280059253099</v>
      </c>
      <c r="DX38" s="43">
        <v>3.4505156255407199</v>
      </c>
      <c r="DY38" s="43">
        <v>3.2084128059670798</v>
      </c>
      <c r="DZ38" s="43">
        <v>3.2396755527841101</v>
      </c>
      <c r="EA38" s="43">
        <v>3.4264148224508002</v>
      </c>
      <c r="EB38" s="43">
        <v>3.5997376174523898</v>
      </c>
      <c r="EC38" s="43">
        <v>3.15476351722184</v>
      </c>
      <c r="ED38" s="43">
        <v>3.2491659727765199</v>
      </c>
      <c r="EE38" s="43">
        <v>3.5079709489036301</v>
      </c>
      <c r="EF38" s="43">
        <v>3.3840035995954101</v>
      </c>
      <c r="EG38" s="43">
        <v>2.8228701735390498</v>
      </c>
      <c r="EH38" s="43">
        <v>2.32481914041063</v>
      </c>
      <c r="EI38" s="43">
        <v>2.36613583402668</v>
      </c>
      <c r="EJ38" s="43">
        <v>2.161738467862842</v>
      </c>
      <c r="EK38" s="43">
        <v>2.2986823323751646</v>
      </c>
      <c r="EL38" s="43">
        <v>2.0498981980090782</v>
      </c>
      <c r="EM38" s="43">
        <v>1.8582893537294063</v>
      </c>
      <c r="EN38" s="43">
        <v>4.0597240907294196</v>
      </c>
      <c r="EO38" s="43">
        <v>2.9323228231123104</v>
      </c>
      <c r="EP38" s="43">
        <v>2.4617354358892571</v>
      </c>
      <c r="EQ38" s="43">
        <v>4.2651526519469902</v>
      </c>
      <c r="ER38" s="43">
        <v>4.2234810147180086</v>
      </c>
      <c r="ES38" s="43">
        <v>4.3028251530864301</v>
      </c>
      <c r="ET38" s="43">
        <v>2.3969511760718221</v>
      </c>
      <c r="EU38" s="43">
        <v>2.5038673082283869</v>
      </c>
      <c r="EV38" s="43">
        <v>2.5424657851167707</v>
      </c>
      <c r="EW38" s="43">
        <v>2.4780360365527021</v>
      </c>
      <c r="EX38" s="43">
        <v>2.5940645290240569</v>
      </c>
      <c r="EY38" s="43">
        <v>0.7141697099071117</v>
      </c>
      <c r="EZ38" s="43">
        <v>1.2171356235072506</v>
      </c>
      <c r="FA38" s="43">
        <v>1.19</v>
      </c>
      <c r="FB38" s="43">
        <v>1.1848682592688948</v>
      </c>
      <c r="FC38" s="43">
        <v>0.55209794914179178</v>
      </c>
      <c r="FD38" s="43">
        <v>0.42783872058801298</v>
      </c>
      <c r="FE38" s="48" t="s">
        <v>197</v>
      </c>
      <c r="FF38" s="48">
        <v>0.42820146304548901</v>
      </c>
      <c r="FG38" s="48">
        <v>0.92037221412011017</v>
      </c>
      <c r="FH38" s="48">
        <v>1.2810330353951054</v>
      </c>
      <c r="FI38" s="48">
        <v>1.4451183365470424</v>
      </c>
      <c r="FJ38" s="48">
        <v>1.1438035650803207</v>
      </c>
      <c r="FK38" s="48">
        <v>2.0556174985242999</v>
      </c>
      <c r="FL38" s="48" t="s">
        <v>197</v>
      </c>
      <c r="FM38" s="48" t="s">
        <v>197</v>
      </c>
      <c r="FN38" s="48">
        <v>3.0000000000000004</v>
      </c>
      <c r="FO38" s="48">
        <v>2.1999999999999997</v>
      </c>
      <c r="FP38" s="48">
        <v>3</v>
      </c>
      <c r="FQ38" s="48">
        <v>2.16</v>
      </c>
      <c r="FR38" s="48">
        <v>1.9262175600598694</v>
      </c>
      <c r="FS38" s="48">
        <v>2.4</v>
      </c>
      <c r="FT38" s="48">
        <v>2.1734559206101465</v>
      </c>
      <c r="FU38" s="48">
        <v>2.154006959980113</v>
      </c>
      <c r="FV38" s="48">
        <v>2.2206385133122919</v>
      </c>
      <c r="FW38" s="50">
        <v>3</v>
      </c>
      <c r="FX38" s="50">
        <v>3</v>
      </c>
      <c r="FY38" s="49" t="s">
        <v>197</v>
      </c>
      <c r="FZ38" s="48" t="s">
        <v>197</v>
      </c>
      <c r="GA38" s="48" t="s">
        <v>197</v>
      </c>
      <c r="GB38" s="48" t="s">
        <v>197</v>
      </c>
      <c r="GC38" s="49" t="s">
        <v>197</v>
      </c>
      <c r="GD38" s="49" t="s">
        <v>197</v>
      </c>
      <c r="GE38" s="48" t="s">
        <v>197</v>
      </c>
      <c r="GF38" s="49">
        <v>1.87</v>
      </c>
      <c r="GG38" s="49" t="s">
        <v>197</v>
      </c>
      <c r="GH38" s="49">
        <v>4.55</v>
      </c>
      <c r="GI38" s="49" t="s">
        <v>197</v>
      </c>
      <c r="GJ38" s="48" t="s">
        <v>197</v>
      </c>
      <c r="GK38" s="48"/>
      <c r="GL38" s="48"/>
      <c r="GM38" s="48" t="s">
        <v>197</v>
      </c>
      <c r="GN38" s="49" t="s">
        <v>197</v>
      </c>
      <c r="GO38" s="49" t="s">
        <v>197</v>
      </c>
      <c r="GP38" s="48" t="s">
        <v>197</v>
      </c>
      <c r="GQ38" s="48" t="s">
        <v>197</v>
      </c>
      <c r="GR38" s="49" t="s">
        <v>197</v>
      </c>
      <c r="GS38" s="49" t="s">
        <v>197</v>
      </c>
      <c r="GT38" s="49" t="s">
        <v>197</v>
      </c>
      <c r="GU38" s="49" t="s">
        <v>197</v>
      </c>
      <c r="GV38" s="49" t="s">
        <v>197</v>
      </c>
      <c r="GW38" s="49" t="s">
        <v>197</v>
      </c>
      <c r="GX38" s="49" t="s">
        <v>197</v>
      </c>
      <c r="GY38" s="49" t="s">
        <v>197</v>
      </c>
      <c r="GZ38" s="49" t="s">
        <v>197</v>
      </c>
      <c r="HA38" s="49" t="s">
        <v>197</v>
      </c>
      <c r="HB38" s="49" t="s">
        <v>197</v>
      </c>
      <c r="HC38" s="49" t="s">
        <v>197</v>
      </c>
      <c r="HD38" s="49" t="s">
        <v>197</v>
      </c>
      <c r="HE38" s="49">
        <v>0.5</v>
      </c>
      <c r="HF38" s="48" t="s">
        <v>197</v>
      </c>
      <c r="HG38" s="48" t="s">
        <v>197</v>
      </c>
      <c r="HH38" s="48" t="s">
        <v>197</v>
      </c>
      <c r="HI38" s="48" t="s">
        <v>197</v>
      </c>
      <c r="HJ38" s="48" t="s">
        <v>197</v>
      </c>
      <c r="HK38" s="48" t="s">
        <v>197</v>
      </c>
      <c r="HL38" s="48">
        <v>7.5</v>
      </c>
      <c r="HM38" s="48">
        <v>6.8</v>
      </c>
      <c r="HN38" s="48">
        <v>7.25</v>
      </c>
      <c r="HO38" s="48">
        <v>6.8</v>
      </c>
      <c r="HP38" s="48">
        <v>7.36</v>
      </c>
      <c r="HQ38" s="48">
        <v>7.1</v>
      </c>
      <c r="HR38" s="48">
        <v>5.2051643812588599</v>
      </c>
      <c r="HS38" s="48">
        <v>6.6768774703557296</v>
      </c>
      <c r="HT38" s="48">
        <v>7.25</v>
      </c>
      <c r="HU38" s="48">
        <v>8</v>
      </c>
      <c r="HV38" s="48">
        <v>11.38</v>
      </c>
      <c r="HW38" s="48">
        <v>11.85</v>
      </c>
      <c r="HX38" s="48">
        <v>13.7</v>
      </c>
      <c r="HY38" s="48">
        <v>14</v>
      </c>
      <c r="HZ38" s="48">
        <v>14.4</v>
      </c>
      <c r="IA38" s="48">
        <v>15</v>
      </c>
    </row>
    <row r="39" spans="1:235">
      <c r="A39" s="12" t="s">
        <v>294</v>
      </c>
      <c r="B39" s="34" t="s">
        <v>232</v>
      </c>
      <c r="C39" s="12" t="s">
        <v>294</v>
      </c>
      <c r="D39" s="43">
        <v>18.18</v>
      </c>
      <c r="E39" s="43">
        <v>16.8</v>
      </c>
      <c r="F39" s="43">
        <v>22.59</v>
      </c>
      <c r="G39" s="43">
        <v>21.65</v>
      </c>
      <c r="H39" s="43">
        <v>19.98</v>
      </c>
      <c r="I39" s="43">
        <v>20.29</v>
      </c>
      <c r="J39" s="43">
        <v>19.8</v>
      </c>
      <c r="K39" s="43">
        <v>11.73</v>
      </c>
      <c r="L39" s="43">
        <v>11.73</v>
      </c>
      <c r="M39" s="43">
        <v>15.09</v>
      </c>
      <c r="N39" s="43">
        <v>12.85</v>
      </c>
      <c r="O39" s="43">
        <v>9.73</v>
      </c>
      <c r="P39" s="43">
        <v>11.93</v>
      </c>
      <c r="Q39" s="43">
        <v>14.48</v>
      </c>
      <c r="R39" s="43">
        <v>14.03</v>
      </c>
      <c r="S39" s="43">
        <v>12.96</v>
      </c>
      <c r="T39" s="43">
        <v>11.19</v>
      </c>
      <c r="U39" s="43">
        <v>11.08</v>
      </c>
      <c r="V39" s="43">
        <v>11.26</v>
      </c>
      <c r="W39" s="43">
        <v>12.68</v>
      </c>
      <c r="X39" s="43">
        <v>10.97</v>
      </c>
      <c r="Y39" s="43">
        <v>12.43</v>
      </c>
      <c r="Z39" s="43">
        <v>11.936875054343101</v>
      </c>
      <c r="AA39" s="43">
        <v>11.584113560857748</v>
      </c>
      <c r="AB39" s="43">
        <v>11.777505866577272</v>
      </c>
      <c r="AC39" s="43">
        <v>15.277525108963426</v>
      </c>
      <c r="AD39" s="43">
        <v>16.27</v>
      </c>
      <c r="AE39" s="43">
        <v>17.04</v>
      </c>
      <c r="AF39" s="43">
        <v>11.2</v>
      </c>
      <c r="AG39" s="43">
        <v>10.039999999999999</v>
      </c>
      <c r="AH39" s="43">
        <v>9.93</v>
      </c>
      <c r="AI39" s="43">
        <v>11.85308209959623</v>
      </c>
      <c r="AJ39" s="43">
        <v>14.893463974190464</v>
      </c>
      <c r="AK39" s="43">
        <v>14.021336078000473</v>
      </c>
      <c r="AL39" s="43">
        <v>13.237910408081884</v>
      </c>
      <c r="AM39" s="43">
        <v>13.634860711308258</v>
      </c>
      <c r="AN39" s="43">
        <v>15.043962123966551</v>
      </c>
      <c r="AO39" s="43">
        <v>15.029750937162463</v>
      </c>
      <c r="AP39" s="43">
        <v>15.073209200043259</v>
      </c>
      <c r="AQ39" s="43">
        <v>15.091623502973498</v>
      </c>
      <c r="AR39" s="43">
        <v>14.681484431912875</v>
      </c>
      <c r="AS39" s="43">
        <v>15.292144130379423</v>
      </c>
      <c r="AT39" s="43">
        <v>15.408858843450151</v>
      </c>
      <c r="AU39" s="43">
        <v>16.046069469835466</v>
      </c>
      <c r="AV39" s="43">
        <v>15.91</v>
      </c>
      <c r="AW39" s="43">
        <v>16.049653761410134</v>
      </c>
      <c r="AX39" s="43">
        <v>15.422204193552444</v>
      </c>
      <c r="AY39" s="43">
        <v>15.546198559303903</v>
      </c>
      <c r="AZ39" s="43">
        <v>16.342020658047748</v>
      </c>
      <c r="BA39" s="43">
        <v>16.998875515388782</v>
      </c>
      <c r="BB39" s="43">
        <v>12.940998487140696</v>
      </c>
      <c r="BC39" s="43">
        <v>14.706074639062926</v>
      </c>
      <c r="BD39" s="43">
        <v>15.138650429227392</v>
      </c>
      <c r="BE39" s="43">
        <v>15.202330004755112</v>
      </c>
      <c r="BF39" s="43">
        <v>15.01</v>
      </c>
      <c r="BG39" s="43">
        <v>16.331500303398059</v>
      </c>
      <c r="BH39" s="43">
        <v>16.168748096253427</v>
      </c>
      <c r="BI39" s="43">
        <v>15.104326254668374</v>
      </c>
      <c r="BJ39" s="43">
        <v>17.79703273172224</v>
      </c>
      <c r="BK39" s="43">
        <v>9.4787199287199275</v>
      </c>
      <c r="BL39" s="43">
        <v>6.1410488245931285</v>
      </c>
      <c r="BM39" s="43">
        <v>11.559504427590042</v>
      </c>
      <c r="BN39" s="43">
        <v>12.836892632198774</v>
      </c>
      <c r="BO39" s="43">
        <v>10.547957572657936</v>
      </c>
      <c r="BP39" s="43">
        <v>9.3841536856979442</v>
      </c>
      <c r="BQ39" s="43">
        <v>7.6852530957629437</v>
      </c>
      <c r="BR39" s="43">
        <v>12.932861321804861</v>
      </c>
      <c r="BS39" s="43">
        <v>13.718001707174626</v>
      </c>
      <c r="BT39" s="43">
        <v>15.31</v>
      </c>
      <c r="BU39" s="43">
        <v>13.408111970824505</v>
      </c>
      <c r="BV39" s="43">
        <v>9.5852575253198644</v>
      </c>
      <c r="BW39" s="43">
        <v>10.79841810692831</v>
      </c>
      <c r="BX39" s="43">
        <v>10.879196720460795</v>
      </c>
      <c r="BY39" s="43">
        <v>6.9777391106992228</v>
      </c>
      <c r="BZ39" s="43">
        <v>10.00501359319281</v>
      </c>
      <c r="CA39" s="43">
        <v>9.3291334089219617</v>
      </c>
      <c r="CB39" s="43">
        <v>9.388627943900504</v>
      </c>
      <c r="CC39" s="43">
        <v>13.876496384970961</v>
      </c>
      <c r="CD39" s="43">
        <v>13.165499827843453</v>
      </c>
      <c r="CE39" s="43">
        <v>3.3455989964457453</v>
      </c>
      <c r="CF39" s="43">
        <v>4.2623216399775687</v>
      </c>
      <c r="CG39" s="43">
        <v>12.909090909090908</v>
      </c>
      <c r="CH39" s="43">
        <v>12</v>
      </c>
      <c r="CI39" s="43">
        <v>7.0779120119968324</v>
      </c>
      <c r="CJ39" s="43">
        <v>9.3605557154929837</v>
      </c>
      <c r="CK39" s="43">
        <v>6.2973514048369656</v>
      </c>
      <c r="CL39" s="43">
        <v>4.9258932365728478</v>
      </c>
      <c r="CM39" s="43">
        <v>8.0650199837679732</v>
      </c>
      <c r="CN39" s="43">
        <v>8.34</v>
      </c>
      <c r="CO39" s="43">
        <v>8.3038034216746794</v>
      </c>
      <c r="CP39" s="43">
        <v>7.9002601784080513</v>
      </c>
      <c r="CQ39" s="43">
        <v>9.1615173938112644</v>
      </c>
      <c r="CR39" s="43">
        <v>9.7638828046486452</v>
      </c>
      <c r="CS39" s="43">
        <v>7.4855351056578057</v>
      </c>
      <c r="CT39" s="43">
        <v>7.5402123349721606</v>
      </c>
      <c r="CU39" s="43">
        <v>6.4458815520762425</v>
      </c>
      <c r="CV39" s="43">
        <v>1</v>
      </c>
      <c r="CW39" s="43">
        <v>1</v>
      </c>
      <c r="CX39" s="43">
        <v>2.18956967882349</v>
      </c>
      <c r="CY39" s="43">
        <v>5.7520613768506497</v>
      </c>
      <c r="CZ39" s="43">
        <v>2.18956967882349</v>
      </c>
      <c r="DA39" s="43">
        <v>6.0622645896303204</v>
      </c>
      <c r="DB39" s="43">
        <v>6.4026271954177503</v>
      </c>
      <c r="DC39" s="43">
        <v>7.61429788207393</v>
      </c>
      <c r="DD39" s="43">
        <v>3.5418992886006602</v>
      </c>
      <c r="DE39" s="43">
        <v>6.6775365684969001</v>
      </c>
      <c r="DF39" s="43">
        <v>0.68290256115773096</v>
      </c>
      <c r="DG39" s="43">
        <v>0.55518976504045203</v>
      </c>
      <c r="DH39" s="43">
        <v>5.4210824157131201</v>
      </c>
      <c r="DI39" s="43">
        <v>6.2192881402533597</v>
      </c>
      <c r="DJ39" s="43">
        <v>5.8713455466821403</v>
      </c>
      <c r="DK39" s="43">
        <v>4.1171928215061904</v>
      </c>
      <c r="DL39" s="43">
        <v>13.485764449084201</v>
      </c>
      <c r="DM39" s="43">
        <v>10.001803179342</v>
      </c>
      <c r="DN39" s="43">
        <v>7.4490168436546007</v>
      </c>
      <c r="DO39" s="43">
        <v>6.9417245145542097</v>
      </c>
      <c r="DP39" s="43">
        <v>7.0909214667757903</v>
      </c>
      <c r="DQ39" s="43">
        <v>6.98771130428484</v>
      </c>
      <c r="DR39" s="43">
        <v>5.3392032680619304</v>
      </c>
      <c r="DS39" s="43">
        <v>5.3392032680619304</v>
      </c>
      <c r="DT39" s="43">
        <v>6.0561558245952201</v>
      </c>
      <c r="DU39" s="43">
        <v>6.0561558245952201</v>
      </c>
      <c r="DV39" s="43">
        <v>5.15</v>
      </c>
      <c r="DW39" s="43">
        <v>6.8440921172468903</v>
      </c>
      <c r="DX39" s="43">
        <v>4.8579327832261701</v>
      </c>
      <c r="DY39" s="43">
        <v>8.1445757115152801</v>
      </c>
      <c r="DZ39" s="43">
        <v>7.97225391781613</v>
      </c>
      <c r="EA39" s="43">
        <v>8.2179979192657893</v>
      </c>
      <c r="EB39" s="43">
        <v>7.96095593623245</v>
      </c>
      <c r="EC39" s="43">
        <v>7.8896646159692301</v>
      </c>
      <c r="ED39" s="43">
        <v>5.7800041800459798</v>
      </c>
      <c r="EE39" s="43">
        <v>6.3420926522416901</v>
      </c>
      <c r="EF39" s="43">
        <v>11.2457157118296</v>
      </c>
      <c r="EG39" s="43">
        <v>11.1427815551727</v>
      </c>
      <c r="EH39" s="43">
        <v>11.052385335283599</v>
      </c>
      <c r="EI39" s="43">
        <v>10.3945166266294</v>
      </c>
      <c r="EJ39" s="43">
        <v>12.010766960969759</v>
      </c>
      <c r="EK39" s="43">
        <v>12.470294675199087</v>
      </c>
      <c r="EL39" s="43">
        <v>11.4345543669051</v>
      </c>
      <c r="EM39" s="43">
        <v>14.574820713095502</v>
      </c>
      <c r="EN39" s="43">
        <v>17.2445851324673</v>
      </c>
      <c r="EO39" s="43">
        <v>17.218537359612398</v>
      </c>
      <c r="EP39" s="43">
        <v>17.218534456474799</v>
      </c>
      <c r="EQ39" s="43">
        <v>17.218542332982402</v>
      </c>
      <c r="ER39" s="43">
        <v>16.537084591198902</v>
      </c>
      <c r="ES39" s="43">
        <v>17.218532107028299</v>
      </c>
      <c r="ET39" s="43">
        <v>17.2185373702861</v>
      </c>
      <c r="EU39" s="43">
        <v>17.181237811859702</v>
      </c>
      <c r="EV39" s="43">
        <v>17.1819394492816</v>
      </c>
      <c r="EW39" s="43">
        <v>17.189270695207401</v>
      </c>
      <c r="EX39" s="43">
        <v>17.2183552359825</v>
      </c>
      <c r="EY39" s="43">
        <v>17.2013925733396</v>
      </c>
      <c r="EZ39" s="43">
        <v>17.218540240660701</v>
      </c>
      <c r="FA39" s="43">
        <v>17.218539913513201</v>
      </c>
      <c r="FB39" s="43" t="s">
        <v>197</v>
      </c>
      <c r="FC39" s="43" t="s">
        <v>197</v>
      </c>
      <c r="FD39" s="43" t="s">
        <v>197</v>
      </c>
      <c r="FE39" s="48" t="s">
        <v>197</v>
      </c>
      <c r="FF39" s="48" t="s">
        <v>197</v>
      </c>
      <c r="FG39" s="48">
        <v>6</v>
      </c>
      <c r="FH39" s="48" t="s">
        <v>197</v>
      </c>
      <c r="FI39" s="48" t="s">
        <v>197</v>
      </c>
      <c r="FJ39" s="48" t="s">
        <v>197</v>
      </c>
      <c r="FK39" s="48" t="s">
        <v>197</v>
      </c>
      <c r="FL39" s="48" t="s">
        <v>197</v>
      </c>
      <c r="FM39" s="48" t="s">
        <v>197</v>
      </c>
      <c r="FN39" s="48" t="s">
        <v>197</v>
      </c>
      <c r="FO39" s="48" t="s">
        <v>197</v>
      </c>
      <c r="FP39" s="48" t="s">
        <v>197</v>
      </c>
      <c r="FQ39" s="48" t="s">
        <v>197</v>
      </c>
      <c r="FR39" s="48" t="s">
        <v>197</v>
      </c>
      <c r="FS39" s="48" t="s">
        <v>197</v>
      </c>
      <c r="FT39" s="48" t="s">
        <v>197</v>
      </c>
      <c r="FU39" s="48" t="s">
        <v>197</v>
      </c>
      <c r="FV39" s="48" t="s">
        <v>197</v>
      </c>
      <c r="FW39" s="48" t="s">
        <v>197</v>
      </c>
      <c r="FX39" s="48" t="s">
        <v>197</v>
      </c>
      <c r="FY39" s="48" t="s">
        <v>197</v>
      </c>
      <c r="FZ39" s="48" t="s">
        <v>197</v>
      </c>
      <c r="GA39" s="48" t="s">
        <v>197</v>
      </c>
      <c r="GB39" s="48" t="s">
        <v>197</v>
      </c>
      <c r="GC39" s="47" t="s">
        <v>197</v>
      </c>
      <c r="GD39" s="47"/>
      <c r="GE39" s="47" t="s">
        <v>197</v>
      </c>
      <c r="GF39" s="48" t="s">
        <v>197</v>
      </c>
      <c r="GG39" s="48" t="s">
        <v>197</v>
      </c>
      <c r="GH39" s="48" t="s">
        <v>197</v>
      </c>
      <c r="GI39" s="48" t="s">
        <v>197</v>
      </c>
      <c r="GJ39" s="48" t="s">
        <v>197</v>
      </c>
      <c r="GK39" s="48"/>
      <c r="GL39" s="48"/>
      <c r="GM39" s="48" t="s">
        <v>197</v>
      </c>
      <c r="GN39" s="48" t="s">
        <v>197</v>
      </c>
      <c r="GO39" s="48" t="s">
        <v>197</v>
      </c>
      <c r="GP39" s="48" t="s">
        <v>197</v>
      </c>
      <c r="GQ39" s="48" t="s">
        <v>197</v>
      </c>
      <c r="GR39" s="48" t="s">
        <v>197</v>
      </c>
      <c r="GS39" s="48" t="s">
        <v>197</v>
      </c>
      <c r="GT39" s="48" t="s">
        <v>197</v>
      </c>
      <c r="GU39" s="48" t="s">
        <v>197</v>
      </c>
      <c r="GV39" s="48" t="s">
        <v>197</v>
      </c>
      <c r="GW39" s="48" t="s">
        <v>197</v>
      </c>
      <c r="GX39" s="48" t="s">
        <v>197</v>
      </c>
      <c r="GY39" s="48">
        <v>1.75</v>
      </c>
      <c r="GZ39" s="48">
        <v>1.75</v>
      </c>
      <c r="HA39" s="48">
        <v>1.75</v>
      </c>
      <c r="HB39" s="48">
        <v>1.85</v>
      </c>
      <c r="HC39" s="48">
        <v>1.85</v>
      </c>
      <c r="HD39" s="48">
        <v>1.85</v>
      </c>
      <c r="HE39" s="48">
        <v>1.28018582104625</v>
      </c>
      <c r="HF39" s="48">
        <v>1.2930662948409199</v>
      </c>
      <c r="HG39" s="48">
        <v>1.2884351478354901</v>
      </c>
      <c r="HH39" s="48" t="s">
        <v>197</v>
      </c>
      <c r="HI39" s="48" t="s">
        <v>197</v>
      </c>
      <c r="HJ39" s="48" t="s">
        <v>197</v>
      </c>
      <c r="HK39" s="48" t="s">
        <v>197</v>
      </c>
      <c r="HL39" s="48" t="s">
        <v>197</v>
      </c>
      <c r="HM39" s="48" t="s">
        <v>197</v>
      </c>
      <c r="HN39" s="48" t="s">
        <v>197</v>
      </c>
      <c r="HO39" s="48" t="s">
        <v>197</v>
      </c>
      <c r="HP39" s="48" t="s">
        <v>197</v>
      </c>
      <c r="HQ39" s="48" t="s">
        <v>197</v>
      </c>
      <c r="HR39" s="48" t="s">
        <v>197</v>
      </c>
      <c r="HS39" s="48" t="s">
        <v>197</v>
      </c>
      <c r="HT39" s="48">
        <v>7</v>
      </c>
      <c r="HU39" s="48">
        <v>7.25</v>
      </c>
      <c r="HV39" s="48">
        <v>7.25</v>
      </c>
      <c r="HW39" s="48">
        <v>7.25</v>
      </c>
      <c r="HX39" s="48"/>
      <c r="HY39" s="48">
        <v>3</v>
      </c>
      <c r="HZ39" s="48">
        <v>3</v>
      </c>
      <c r="IA39" s="48">
        <v>6.75</v>
      </c>
    </row>
    <row r="40" spans="1:235">
      <c r="A40" s="12" t="s">
        <v>295</v>
      </c>
      <c r="B40" s="34" t="s">
        <v>233</v>
      </c>
      <c r="C40" s="12" t="s">
        <v>295</v>
      </c>
      <c r="D40" s="43">
        <v>18</v>
      </c>
      <c r="E40" s="43">
        <v>10.33</v>
      </c>
      <c r="F40" s="43">
        <v>11.4</v>
      </c>
      <c r="G40" s="43">
        <v>11.26</v>
      </c>
      <c r="H40" s="43">
        <v>11.04</v>
      </c>
      <c r="I40" s="43">
        <v>10.69</v>
      </c>
      <c r="J40" s="43">
        <v>13.16</v>
      </c>
      <c r="K40" s="43">
        <v>13.33</v>
      </c>
      <c r="L40" s="43">
        <v>13.33</v>
      </c>
      <c r="M40" s="43">
        <v>13.08</v>
      </c>
      <c r="N40" s="43">
        <v>13.65</v>
      </c>
      <c r="O40" s="43">
        <v>12.54</v>
      </c>
      <c r="P40" s="43">
        <v>9.56</v>
      </c>
      <c r="Q40" s="43">
        <v>9.7200000000000006</v>
      </c>
      <c r="R40" s="43">
        <v>9.6199999999999992</v>
      </c>
      <c r="S40" s="43">
        <v>10.47</v>
      </c>
      <c r="T40" s="43">
        <v>13.08</v>
      </c>
      <c r="U40" s="43">
        <v>14.48</v>
      </c>
      <c r="V40" s="43">
        <v>12.84</v>
      </c>
      <c r="W40" s="43">
        <v>13.01</v>
      </c>
      <c r="X40" s="43">
        <v>12.7</v>
      </c>
      <c r="Y40" s="43">
        <v>12.11</v>
      </c>
      <c r="Z40" s="43">
        <v>12.779637606091997</v>
      </c>
      <c r="AA40" s="43">
        <v>14.219330194545616</v>
      </c>
      <c r="AB40" s="43">
        <v>16.034476485035931</v>
      </c>
      <c r="AC40" s="43">
        <v>12.585533802681068</v>
      </c>
      <c r="AD40" s="43">
        <v>11.08</v>
      </c>
      <c r="AE40" s="43">
        <v>10.45</v>
      </c>
      <c r="AF40" s="43">
        <v>11.32</v>
      </c>
      <c r="AG40" s="43">
        <v>15</v>
      </c>
      <c r="AH40" s="43">
        <v>17.727487720574857</v>
      </c>
      <c r="AI40" s="43">
        <v>17.726194819408974</v>
      </c>
      <c r="AJ40" s="43">
        <v>17.606746482565764</v>
      </c>
      <c r="AK40" s="43">
        <v>13.53816554974593</v>
      </c>
      <c r="AL40" s="43">
        <v>13.323903966597078</v>
      </c>
      <c r="AM40" s="43">
        <v>13.432912278071392</v>
      </c>
      <c r="AN40" s="43">
        <v>13.35415033672996</v>
      </c>
      <c r="AO40" s="43">
        <v>14.092512632062471</v>
      </c>
      <c r="AP40" s="43">
        <v>14.458736059479554</v>
      </c>
      <c r="AQ40" s="43">
        <v>15.078920927916633</v>
      </c>
      <c r="AR40" s="43">
        <v>15</v>
      </c>
      <c r="AS40" s="43">
        <v>15.102639911827993</v>
      </c>
      <c r="AT40" s="43">
        <v>14.781698139243597</v>
      </c>
      <c r="AU40" s="43">
        <v>15.999048359212676</v>
      </c>
      <c r="AV40" s="43">
        <v>15.68</v>
      </c>
      <c r="AW40" s="43">
        <v>15.189524388127062</v>
      </c>
      <c r="AX40" s="43">
        <v>15.385308518862955</v>
      </c>
      <c r="AY40" s="43">
        <v>15.372701562049452</v>
      </c>
      <c r="AZ40" s="43">
        <v>15.220114636319977</v>
      </c>
      <c r="BA40" s="43">
        <v>14.794928295667285</v>
      </c>
      <c r="BB40" s="43">
        <v>14.971772717766392</v>
      </c>
      <c r="BC40" s="43">
        <v>14.89684894996503</v>
      </c>
      <c r="BD40" s="43">
        <v>14.865920931657984</v>
      </c>
      <c r="BE40" s="43">
        <v>14.708604077974456</v>
      </c>
      <c r="BF40" s="43">
        <v>14.98</v>
      </c>
      <c r="BG40" s="43">
        <v>13.55135717930569</v>
      </c>
      <c r="BH40" s="43">
        <v>14.813655713343985</v>
      </c>
      <c r="BI40" s="43">
        <v>15.08185641526906</v>
      </c>
      <c r="BJ40" s="43">
        <v>14.743201744625928</v>
      </c>
      <c r="BK40" s="43">
        <v>6.2537266826762234</v>
      </c>
      <c r="BL40" s="43">
        <v>3.8089698749782608</v>
      </c>
      <c r="BM40" s="43">
        <v>4.5458951199784305</v>
      </c>
      <c r="BN40" s="43">
        <v>4.879710465244778</v>
      </c>
      <c r="BO40" s="43">
        <v>6.5965148591745839</v>
      </c>
      <c r="BP40" s="43">
        <v>8.3102649318301935</v>
      </c>
      <c r="BQ40" s="43">
        <v>10.265422793413135</v>
      </c>
      <c r="BR40" s="43">
        <v>14.081716536265596</v>
      </c>
      <c r="BS40" s="43">
        <v>7.1997983802237293</v>
      </c>
      <c r="BT40" s="43">
        <v>8.98</v>
      </c>
      <c r="BU40" s="43">
        <v>10.797271929232222</v>
      </c>
      <c r="BV40" s="43">
        <v>10.516011984284461</v>
      </c>
      <c r="BW40" s="43">
        <v>11.781643199866872</v>
      </c>
      <c r="BX40" s="43">
        <v>11.628060899789494</v>
      </c>
      <c r="BY40" s="43">
        <v>11.888724319159103</v>
      </c>
      <c r="BZ40" s="43">
        <v>8.2675645999560796</v>
      </c>
      <c r="CA40" s="43">
        <v>7.5540133055150971</v>
      </c>
      <c r="CB40" s="43">
        <v>9.9265385867795501</v>
      </c>
      <c r="CC40" s="43">
        <v>10.825208868894602</v>
      </c>
      <c r="CD40" s="43">
        <v>10.466700227467651</v>
      </c>
      <c r="CE40" s="43">
        <v>5.4184258413470188</v>
      </c>
      <c r="CF40" s="43">
        <v>4.7780713015998417</v>
      </c>
      <c r="CG40" s="43">
        <v>9.4389502268329561</v>
      </c>
      <c r="CH40" s="43">
        <v>9.9065885034116352</v>
      </c>
      <c r="CI40" s="43">
        <v>9.0032656680534568</v>
      </c>
      <c r="CJ40" s="43">
        <v>9.6681067847563504</v>
      </c>
      <c r="CK40" s="43">
        <v>8.9851707334945399</v>
      </c>
      <c r="CL40" s="43">
        <v>8.5924278473156104</v>
      </c>
      <c r="CM40" s="43">
        <v>8.5925278318089635</v>
      </c>
      <c r="CN40" s="43">
        <v>8.85</v>
      </c>
      <c r="CO40" s="43">
        <v>7.1470732751105537</v>
      </c>
      <c r="CP40" s="43">
        <v>8.1164017244699931</v>
      </c>
      <c r="CQ40" s="43">
        <v>6.9005244511827231</v>
      </c>
      <c r="CR40" s="43">
        <v>5.9678387315142682</v>
      </c>
      <c r="CS40" s="43">
        <v>8.4980934773817101</v>
      </c>
      <c r="CT40" s="43">
        <v>8.2127791925043248</v>
      </c>
      <c r="CU40" s="43">
        <v>8.3636843717324485</v>
      </c>
      <c r="CV40" s="43">
        <v>8.1839500291143938</v>
      </c>
      <c r="CW40" s="43">
        <v>8.0971080168081073</v>
      </c>
      <c r="CX40" s="43">
        <v>12</v>
      </c>
      <c r="CY40" s="43">
        <v>12</v>
      </c>
      <c r="CZ40" s="43">
        <v>12</v>
      </c>
      <c r="DA40" s="43">
        <v>10.0772169639257</v>
      </c>
      <c r="DB40" s="43">
        <v>7.5675300560796801</v>
      </c>
      <c r="DC40" s="43">
        <v>7.2192090538202098</v>
      </c>
      <c r="DD40" s="43">
        <v>7.2192090538202098</v>
      </c>
      <c r="DE40" s="43">
        <v>11.022935308032499</v>
      </c>
      <c r="DF40" s="43">
        <v>9.28571428571429</v>
      </c>
      <c r="DG40" s="43">
        <v>8.7423975319524008</v>
      </c>
      <c r="DH40" s="43">
        <v>4.0119066773933998</v>
      </c>
      <c r="DI40" s="43">
        <v>6.7566421611786103</v>
      </c>
      <c r="DJ40" s="43">
        <v>6.9137479733349396</v>
      </c>
      <c r="DK40" s="43">
        <v>7.1926326129665998</v>
      </c>
      <c r="DL40" s="43">
        <v>2.6872663294479899</v>
      </c>
      <c r="DM40" s="43">
        <v>5.0447888438936799</v>
      </c>
      <c r="DN40" s="43">
        <v>5.4481584279803199</v>
      </c>
      <c r="DO40" s="43">
        <v>5.0651210509959501</v>
      </c>
      <c r="DP40" s="43">
        <v>2</v>
      </c>
      <c r="DQ40" s="43">
        <v>8</v>
      </c>
      <c r="DR40" s="43">
        <v>8</v>
      </c>
      <c r="DS40" s="43">
        <v>8.25</v>
      </c>
      <c r="DT40" s="43">
        <v>8.6484403011832196</v>
      </c>
      <c r="DU40" s="43">
        <v>7.4659731744943398</v>
      </c>
      <c r="DV40" s="43">
        <v>6.11</v>
      </c>
      <c r="DW40" s="43">
        <v>6.6562091589116497</v>
      </c>
      <c r="DX40" s="43">
        <v>6.6142672591443201</v>
      </c>
      <c r="DY40" s="43">
        <v>7.1714222251603097</v>
      </c>
      <c r="DZ40" s="43">
        <v>7.25810680281496</v>
      </c>
      <c r="EA40" s="43">
        <v>6.4988753580403102</v>
      </c>
      <c r="EB40" s="43">
        <v>4.3168906985871303</v>
      </c>
      <c r="EC40" s="43">
        <v>6.4732048262562998</v>
      </c>
      <c r="ED40" s="43">
        <v>7.2545162805446504</v>
      </c>
      <c r="EE40" s="43">
        <v>6.0544386997035602</v>
      </c>
      <c r="EF40" s="43">
        <v>6.3153465052691304</v>
      </c>
      <c r="EG40" s="43">
        <v>7.9797459057808</v>
      </c>
      <c r="EH40" s="43">
        <v>7.6179520160917997</v>
      </c>
      <c r="EI40" s="43">
        <v>7.9648354347470098</v>
      </c>
      <c r="EJ40" s="43">
        <v>8.3472319236609511</v>
      </c>
      <c r="EK40" s="43">
        <v>9.6110470586676247</v>
      </c>
      <c r="EL40" s="43">
        <v>9.6350785269793615</v>
      </c>
      <c r="EM40" s="43">
        <v>9.6381866590099676</v>
      </c>
      <c r="EN40" s="43">
        <v>6.5477011464452932</v>
      </c>
      <c r="EO40" s="43">
        <v>7.4345477158044</v>
      </c>
      <c r="EP40" s="43">
        <v>7.43456207232067</v>
      </c>
      <c r="EQ40" s="43">
        <v>11.5</v>
      </c>
      <c r="ER40" s="43">
        <v>10.4109011762527</v>
      </c>
      <c r="ES40" s="43">
        <v>10.720988851187601</v>
      </c>
      <c r="ET40" s="43">
        <v>11.0801445783133</v>
      </c>
      <c r="EU40" s="43">
        <v>11.1593129361245</v>
      </c>
      <c r="EV40" s="43">
        <v>11.1595038624742</v>
      </c>
      <c r="EW40" s="43">
        <v>11.159393939393899</v>
      </c>
      <c r="EX40" s="43">
        <v>7.4494163887565499</v>
      </c>
      <c r="EY40" s="43">
        <v>11.5</v>
      </c>
      <c r="EZ40" s="43">
        <v>11.5</v>
      </c>
      <c r="FA40" s="43">
        <v>11.5</v>
      </c>
      <c r="FB40" s="43">
        <v>10.571770802776999</v>
      </c>
      <c r="FC40" s="43">
        <v>10.384835412172901</v>
      </c>
      <c r="FD40" s="43">
        <v>9.7715173025731996</v>
      </c>
      <c r="FE40" s="48">
        <v>10.568197361993199</v>
      </c>
      <c r="FF40" s="48" t="s">
        <v>197</v>
      </c>
      <c r="FG40" s="48" t="s">
        <v>197</v>
      </c>
      <c r="FH40" s="48">
        <v>4</v>
      </c>
      <c r="FI40" s="48">
        <v>4</v>
      </c>
      <c r="FJ40" s="48">
        <v>4</v>
      </c>
      <c r="FK40" s="48">
        <v>4</v>
      </c>
      <c r="FL40" s="48">
        <v>4</v>
      </c>
      <c r="FM40" s="48">
        <v>4</v>
      </c>
      <c r="FN40" s="48">
        <v>4</v>
      </c>
      <c r="FO40" s="48">
        <v>4</v>
      </c>
      <c r="FP40" s="48">
        <v>5</v>
      </c>
      <c r="FQ40" s="48" t="s">
        <v>197</v>
      </c>
      <c r="FR40" s="48" t="s">
        <v>197</v>
      </c>
      <c r="FS40" s="48" t="s">
        <v>197</v>
      </c>
      <c r="FT40" s="48" t="s">
        <v>197</v>
      </c>
      <c r="FU40" s="48" t="s">
        <v>197</v>
      </c>
      <c r="FV40" s="48" t="s">
        <v>197</v>
      </c>
      <c r="FW40" s="48" t="s">
        <v>197</v>
      </c>
      <c r="FX40" s="48" t="s">
        <v>197</v>
      </c>
      <c r="FY40" s="50" t="s">
        <v>197</v>
      </c>
      <c r="FZ40" s="48" t="s">
        <v>197</v>
      </c>
      <c r="GA40" s="48" t="s">
        <v>197</v>
      </c>
      <c r="GB40" s="48" t="s">
        <v>197</v>
      </c>
      <c r="GC40" s="48">
        <v>2.5</v>
      </c>
      <c r="GD40" s="49">
        <v>2.5</v>
      </c>
      <c r="GE40" s="48">
        <v>2.5</v>
      </c>
      <c r="GF40" s="48">
        <v>2.5</v>
      </c>
      <c r="GG40" s="48">
        <v>2.5</v>
      </c>
      <c r="GH40" s="48">
        <v>2.5</v>
      </c>
      <c r="GI40" s="48">
        <v>4.5</v>
      </c>
      <c r="GJ40" s="48">
        <v>4.5</v>
      </c>
      <c r="GK40" s="48">
        <v>4.5</v>
      </c>
      <c r="GL40" s="48">
        <v>4.5</v>
      </c>
      <c r="GM40" s="48">
        <v>4.5</v>
      </c>
      <c r="GN40" s="48" t="s">
        <v>197</v>
      </c>
      <c r="GO40" s="49">
        <v>4.5</v>
      </c>
      <c r="GP40" s="48">
        <v>4.5</v>
      </c>
      <c r="GQ40" s="48">
        <v>4.5</v>
      </c>
      <c r="GR40" s="48">
        <v>4.5</v>
      </c>
      <c r="GS40" s="49" t="s">
        <v>197</v>
      </c>
      <c r="GT40" s="49" t="s">
        <v>197</v>
      </c>
      <c r="GU40" s="49" t="s">
        <v>197</v>
      </c>
      <c r="GV40" s="49" t="s">
        <v>197</v>
      </c>
      <c r="GW40" s="49" t="s">
        <v>197</v>
      </c>
      <c r="GX40" s="49" t="s">
        <v>197</v>
      </c>
      <c r="GY40" s="49" t="s">
        <v>197</v>
      </c>
      <c r="GZ40" s="49" t="s">
        <v>197</v>
      </c>
      <c r="HA40" s="49" t="s">
        <v>197</v>
      </c>
      <c r="HB40" s="49" t="s">
        <v>197</v>
      </c>
      <c r="HC40" s="49" t="s">
        <v>197</v>
      </c>
      <c r="HD40" s="49" t="s">
        <v>197</v>
      </c>
      <c r="HE40" s="49" t="s">
        <v>197</v>
      </c>
      <c r="HF40" s="48" t="s">
        <v>197</v>
      </c>
      <c r="HG40" s="48" t="s">
        <v>197</v>
      </c>
      <c r="HH40" s="48" t="s">
        <v>197</v>
      </c>
      <c r="HI40" s="48" t="s">
        <v>197</v>
      </c>
      <c r="HJ40" s="48" t="s">
        <v>197</v>
      </c>
      <c r="HK40" s="48" t="s">
        <v>197</v>
      </c>
      <c r="HL40" s="48" t="s">
        <v>197</v>
      </c>
      <c r="HM40" s="48" t="s">
        <v>197</v>
      </c>
      <c r="HN40" s="48" t="s">
        <v>197</v>
      </c>
      <c r="HO40" s="48">
        <v>3</v>
      </c>
      <c r="HP40" s="48">
        <v>3</v>
      </c>
      <c r="HQ40" s="48">
        <v>3</v>
      </c>
      <c r="HR40" s="48">
        <v>3</v>
      </c>
      <c r="HS40" s="48">
        <v>3</v>
      </c>
      <c r="HT40" s="48">
        <v>3</v>
      </c>
      <c r="HU40" s="48" t="s">
        <v>197</v>
      </c>
      <c r="HV40" s="48" t="s">
        <v>197</v>
      </c>
      <c r="HW40" s="48" t="s">
        <v>197</v>
      </c>
      <c r="HX40" s="48"/>
      <c r="HY40" s="48" t="s">
        <v>197</v>
      </c>
      <c r="HZ40" s="48" t="s">
        <v>197</v>
      </c>
      <c r="IA40" s="48" t="s">
        <v>197</v>
      </c>
    </row>
    <row r="41" spans="1:235">
      <c r="A41" s="12" t="s">
        <v>296</v>
      </c>
      <c r="B41" s="34" t="s">
        <v>234</v>
      </c>
      <c r="C41" s="12" t="s">
        <v>296</v>
      </c>
      <c r="D41" s="43">
        <v>15.49</v>
      </c>
      <c r="E41" s="43">
        <v>13.26</v>
      </c>
      <c r="F41" s="43">
        <v>12.87</v>
      </c>
      <c r="G41" s="43">
        <v>13.6</v>
      </c>
      <c r="H41" s="43">
        <v>12.59</v>
      </c>
      <c r="I41" s="43">
        <v>10.19</v>
      </c>
      <c r="J41" s="43">
        <v>10.54</v>
      </c>
      <c r="K41" s="43">
        <v>11.95</v>
      </c>
      <c r="L41" s="43">
        <v>11.95</v>
      </c>
      <c r="M41" s="43">
        <v>10.86</v>
      </c>
      <c r="N41" s="43">
        <v>10.11</v>
      </c>
      <c r="O41" s="43">
        <v>10.41</v>
      </c>
      <c r="P41" s="43">
        <v>11.21</v>
      </c>
      <c r="Q41" s="43">
        <v>10.34</v>
      </c>
      <c r="R41" s="43">
        <v>10.86</v>
      </c>
      <c r="S41" s="43">
        <v>11.01</v>
      </c>
      <c r="T41" s="43">
        <v>11.93</v>
      </c>
      <c r="U41" s="43">
        <v>12.55</v>
      </c>
      <c r="V41" s="43">
        <v>12.53</v>
      </c>
      <c r="W41" s="43">
        <v>12.13</v>
      </c>
      <c r="X41" s="43">
        <v>15.14</v>
      </c>
      <c r="Y41" s="43">
        <v>14.44</v>
      </c>
      <c r="Z41" s="43">
        <v>16.452606487718935</v>
      </c>
      <c r="AA41" s="43">
        <v>16.452384385621588</v>
      </c>
      <c r="AB41" s="43">
        <v>16.55273230375942</v>
      </c>
      <c r="AC41" s="43">
        <v>16.874947961215021</v>
      </c>
      <c r="AD41" s="43">
        <v>16.11</v>
      </c>
      <c r="AE41" s="43">
        <v>16.02</v>
      </c>
      <c r="AF41" s="43">
        <v>16.02</v>
      </c>
      <c r="AG41" s="43">
        <v>15.01</v>
      </c>
      <c r="AH41" s="43">
        <v>15.544982280927835</v>
      </c>
      <c r="AI41" s="43">
        <v>14.944095189721642</v>
      </c>
      <c r="AJ41" s="43">
        <v>14.332449640022345</v>
      </c>
      <c r="AK41" s="43">
        <v>15.881830423586665</v>
      </c>
      <c r="AL41" s="43">
        <v>15.888445326612993</v>
      </c>
      <c r="AM41" s="43">
        <v>16.751975690304608</v>
      </c>
      <c r="AN41" s="43">
        <v>15.399538473780536</v>
      </c>
      <c r="AO41" s="43">
        <v>15.446584346555946</v>
      </c>
      <c r="AP41" s="43">
        <v>15.259285287606733</v>
      </c>
      <c r="AQ41" s="43">
        <v>16.999729698420666</v>
      </c>
      <c r="AR41" s="43">
        <v>17.999277307454054</v>
      </c>
      <c r="AS41" s="43">
        <v>16.347392112731185</v>
      </c>
      <c r="AT41" s="43">
        <v>16.073621336296707</v>
      </c>
      <c r="AU41" s="43">
        <v>16.340328277581552</v>
      </c>
      <c r="AV41" s="43">
        <v>16.899999999999999</v>
      </c>
      <c r="AW41" s="43">
        <v>16.44942956031278</v>
      </c>
      <c r="AX41" s="43">
        <v>16.846507617131358</v>
      </c>
      <c r="AY41" s="43">
        <v>17.510000000000002</v>
      </c>
      <c r="AZ41" s="43" t="s">
        <v>197</v>
      </c>
      <c r="BA41" s="43">
        <v>24.5174388688785</v>
      </c>
      <c r="BB41" s="43">
        <v>19.259571056323917</v>
      </c>
      <c r="BC41" s="43">
        <v>14.12</v>
      </c>
      <c r="BD41" s="43">
        <v>15.894584292861113</v>
      </c>
      <c r="BE41" s="43">
        <v>15.342012850592692</v>
      </c>
      <c r="BF41" s="43">
        <v>15</v>
      </c>
      <c r="BG41" s="43">
        <v>11.829747613749488</v>
      </c>
      <c r="BH41" s="43">
        <v>12.038959568780095</v>
      </c>
      <c r="BI41" s="43">
        <v>14.675523893304847</v>
      </c>
      <c r="BJ41" s="43">
        <v>14.680064829821717</v>
      </c>
      <c r="BK41" s="43">
        <v>15.230208861043598</v>
      </c>
      <c r="BL41" s="43">
        <v>14.622134564903069</v>
      </c>
      <c r="BM41" s="43">
        <v>14.100110555102992</v>
      </c>
      <c r="BN41" s="43">
        <v>14.929504638692652</v>
      </c>
      <c r="BO41" s="43">
        <v>13.366276162583041</v>
      </c>
      <c r="BP41" s="43">
        <v>13.230218417473399</v>
      </c>
      <c r="BQ41" s="43">
        <v>12.140451490356519</v>
      </c>
      <c r="BR41" s="43">
        <v>11.593798610390959</v>
      </c>
      <c r="BS41" s="43">
        <v>11.708165192350153</v>
      </c>
      <c r="BT41" s="43">
        <v>11.52</v>
      </c>
      <c r="BU41" s="43">
        <v>11.615615310569673</v>
      </c>
      <c r="BV41" s="43">
        <v>9.2094925877519191</v>
      </c>
      <c r="BW41" s="43">
        <v>8.8984525384176969</v>
      </c>
      <c r="BX41" s="43">
        <v>7.7956719331922377</v>
      </c>
      <c r="BY41" s="43">
        <v>6.5391549637129902</v>
      </c>
      <c r="BZ41" s="43">
        <v>7.1480495246397346</v>
      </c>
      <c r="CA41" s="43">
        <v>6.6256823356935657</v>
      </c>
      <c r="CB41" s="43">
        <v>3.8673537234042552</v>
      </c>
      <c r="CC41" s="43">
        <v>3.3902547238751439</v>
      </c>
      <c r="CD41" s="43">
        <v>2.2178426217260752</v>
      </c>
      <c r="CE41" s="43">
        <v>3.1793148364137886</v>
      </c>
      <c r="CF41" s="43">
        <v>2.2298688576102328</v>
      </c>
      <c r="CG41" s="43">
        <v>2.2238456535876869</v>
      </c>
      <c r="CH41" s="43">
        <v>1.9645532244407617</v>
      </c>
      <c r="CI41" s="43">
        <v>1.6193534234970197</v>
      </c>
      <c r="CJ41" s="43">
        <v>3.4399209968598474</v>
      </c>
      <c r="CK41" s="43">
        <v>1.9447251442612994</v>
      </c>
      <c r="CL41" s="43">
        <v>2.4476280469230818</v>
      </c>
      <c r="CM41" s="43">
        <v>2.1666372498438644</v>
      </c>
      <c r="CN41" s="43">
        <v>9.51</v>
      </c>
      <c r="CO41" s="43">
        <v>5.0174535899646946</v>
      </c>
      <c r="CP41" s="43">
        <v>5.0186197159028492</v>
      </c>
      <c r="CQ41" s="43">
        <v>4.257064046372145</v>
      </c>
      <c r="CR41" s="43">
        <v>4.9014796102490079</v>
      </c>
      <c r="CS41" s="43">
        <v>4.9771314600621581</v>
      </c>
      <c r="CT41" s="43">
        <v>4.3976226187011713</v>
      </c>
      <c r="CU41" s="43">
        <v>3.9689652803674118</v>
      </c>
      <c r="CV41" s="43">
        <v>4.2812588726057612</v>
      </c>
      <c r="CW41" s="43">
        <v>4.434334808916363</v>
      </c>
      <c r="CX41" s="43">
        <v>2.9752147860435301</v>
      </c>
      <c r="CY41" s="43">
        <v>4.4115441482248601</v>
      </c>
      <c r="CZ41" s="43">
        <v>2.9752147860435301</v>
      </c>
      <c r="DA41" s="43">
        <v>3.8568750346267202</v>
      </c>
      <c r="DB41" s="43">
        <v>4.0101792104073901</v>
      </c>
      <c r="DC41" s="43">
        <v>4.0104097206786697</v>
      </c>
      <c r="DD41" s="43">
        <v>4.0104097206786697</v>
      </c>
      <c r="DE41" s="43">
        <v>4.01064863397949</v>
      </c>
      <c r="DF41" s="43">
        <v>4.0104403893867904</v>
      </c>
      <c r="DG41" s="43">
        <v>3.34485828577004</v>
      </c>
      <c r="DH41" s="43">
        <v>3.2722677316245501</v>
      </c>
      <c r="DI41" s="43">
        <v>3.3913760649646898</v>
      </c>
      <c r="DJ41" s="43">
        <v>3.2030713879922601</v>
      </c>
      <c r="DK41" s="43">
        <v>3.3608484025862202</v>
      </c>
      <c r="DL41" s="43">
        <v>5.4603895887131602</v>
      </c>
      <c r="DM41" s="43">
        <v>3.8980311693102201</v>
      </c>
      <c r="DN41" s="43">
        <v>1.4948840581484399</v>
      </c>
      <c r="DO41" s="43">
        <v>1.18180722573317</v>
      </c>
      <c r="DP41" s="43">
        <v>1.17542481702518</v>
      </c>
      <c r="DQ41" s="43">
        <v>1</v>
      </c>
      <c r="DR41" s="43">
        <v>1</v>
      </c>
      <c r="DS41" s="43">
        <v>1</v>
      </c>
      <c r="DT41" s="43">
        <v>1.00237786668169</v>
      </c>
      <c r="DU41" s="43">
        <v>3.7641130453168001</v>
      </c>
      <c r="DV41" s="43">
        <v>3.76</v>
      </c>
      <c r="DW41" s="43">
        <v>7.2202319957371799</v>
      </c>
      <c r="DX41" s="43">
        <v>7.2201668986331802</v>
      </c>
      <c r="DY41" s="43">
        <v>7.2979458071010104</v>
      </c>
      <c r="DZ41" s="43">
        <v>7.2202149781800102</v>
      </c>
      <c r="EA41" s="43">
        <v>5.9981178910711801</v>
      </c>
      <c r="EB41" s="43">
        <v>5.1622911322294103</v>
      </c>
      <c r="EC41" s="43">
        <v>4.9168929201476699</v>
      </c>
      <c r="ED41" s="43">
        <v>5.2287518411959901</v>
      </c>
      <c r="EE41" s="43">
        <v>4.6950179022089804</v>
      </c>
      <c r="EF41" s="43">
        <v>4.6966172918011901</v>
      </c>
      <c r="EG41" s="43">
        <v>5.0191271051888098</v>
      </c>
      <c r="EH41" s="43">
        <v>4.4613927323300802</v>
      </c>
      <c r="EI41" s="43">
        <v>5.7771454136564104</v>
      </c>
      <c r="EJ41" s="43">
        <v>5.4939799018210396</v>
      </c>
      <c r="EK41" s="43">
        <v>5.5003348190675903</v>
      </c>
      <c r="EL41" s="43">
        <v>5.4062670620130939</v>
      </c>
      <c r="EM41" s="43">
        <v>4.7751713784129901</v>
      </c>
      <c r="EN41" s="43">
        <v>5.53921044567889</v>
      </c>
      <c r="EO41" s="43">
        <v>5.9793324902019398</v>
      </c>
      <c r="EP41" s="43">
        <v>6.04474914362833</v>
      </c>
      <c r="EQ41" s="43">
        <v>5.7510454850457497</v>
      </c>
      <c r="ER41" s="43">
        <v>5.7024854670844807</v>
      </c>
      <c r="ES41" s="43">
        <v>5.6038419358970293</v>
      </c>
      <c r="ET41" s="43">
        <v>6.743183928812166</v>
      </c>
      <c r="EU41" s="43">
        <v>6.086174332601499</v>
      </c>
      <c r="EV41" s="43">
        <v>6.085127909677893</v>
      </c>
      <c r="EW41" s="43">
        <v>5.6357100267179296</v>
      </c>
      <c r="EX41" s="43">
        <v>5.088172929123334</v>
      </c>
      <c r="EY41" s="43">
        <v>5.8752783965201072</v>
      </c>
      <c r="EZ41" s="43">
        <v>5.7159365223464498</v>
      </c>
      <c r="FA41" s="43">
        <v>5.716319796537789</v>
      </c>
      <c r="FB41" s="43">
        <v>5.437449126189323</v>
      </c>
      <c r="FC41" s="43">
        <v>5.4355306182335505</v>
      </c>
      <c r="FD41" s="43">
        <v>4.5344757348089164</v>
      </c>
      <c r="FE41" s="48">
        <v>5.064423066161595</v>
      </c>
      <c r="FF41" s="48">
        <v>4.5170112805010643</v>
      </c>
      <c r="FG41" s="48">
        <v>5.6811454295706199</v>
      </c>
      <c r="FH41" s="48">
        <v>5.7035940236547695</v>
      </c>
      <c r="FI41" s="48">
        <v>5.7250011131605225</v>
      </c>
      <c r="FJ41" s="48">
        <v>5.7250011131605198</v>
      </c>
      <c r="FK41" s="48">
        <v>10</v>
      </c>
      <c r="FL41" s="48">
        <v>10</v>
      </c>
      <c r="FM41" s="48">
        <v>10</v>
      </c>
      <c r="FN41" s="48">
        <v>7.07959761138342</v>
      </c>
      <c r="FO41" s="48">
        <v>7.07959761138342</v>
      </c>
      <c r="FP41" s="48">
        <v>7.07959761138342</v>
      </c>
      <c r="FQ41" s="48">
        <v>7.07959761138342</v>
      </c>
      <c r="FR41" s="48">
        <v>6.1318537409907972</v>
      </c>
      <c r="FS41" s="48">
        <v>6.1403843655085852</v>
      </c>
      <c r="FT41" s="48">
        <v>6.1503470440585719</v>
      </c>
      <c r="FU41" s="48">
        <v>6.8982929413957894</v>
      </c>
      <c r="FV41" s="48">
        <v>4.1042890325915087</v>
      </c>
      <c r="FW41" s="48">
        <v>4.5314661326169992</v>
      </c>
      <c r="FX41" s="48">
        <v>4.547552383175482</v>
      </c>
      <c r="FY41" s="48">
        <v>4.3202980940505453</v>
      </c>
      <c r="FZ41" s="48">
        <v>4.5646698751927985</v>
      </c>
      <c r="GA41" s="48">
        <v>4.5467753853730777</v>
      </c>
      <c r="GB41" s="48">
        <v>4.5537848273497783</v>
      </c>
      <c r="GC41" s="48">
        <v>4.5443102970556302</v>
      </c>
      <c r="GD41" s="47">
        <v>4.5577410985138531</v>
      </c>
      <c r="GE41" s="47">
        <v>4.4311820194236962</v>
      </c>
      <c r="GF41" s="48">
        <v>4.4179294470440515</v>
      </c>
      <c r="GG41" s="48">
        <v>4.5544309128635287</v>
      </c>
      <c r="GH41" s="48">
        <v>2.7379036869328499</v>
      </c>
      <c r="GI41" s="48">
        <v>2.74540384192029</v>
      </c>
      <c r="GJ41" s="48">
        <v>2.7544562650523301</v>
      </c>
      <c r="GK41" s="48">
        <v>2.7673281454256702</v>
      </c>
      <c r="GL41" s="48">
        <v>2.7703449556700499</v>
      </c>
      <c r="GM41" s="48" t="s">
        <v>197</v>
      </c>
      <c r="GN41" s="48" t="s">
        <v>197</v>
      </c>
      <c r="GO41" s="48" t="s">
        <v>197</v>
      </c>
      <c r="GP41" s="48" t="s">
        <v>197</v>
      </c>
      <c r="GQ41" s="48" t="s">
        <v>197</v>
      </c>
      <c r="GR41" s="48">
        <v>4</v>
      </c>
      <c r="GS41" s="48">
        <v>4</v>
      </c>
      <c r="GT41" s="48">
        <v>4</v>
      </c>
      <c r="GU41" s="48">
        <v>4</v>
      </c>
      <c r="GV41" s="48">
        <v>4</v>
      </c>
      <c r="GW41" s="48">
        <v>4</v>
      </c>
      <c r="GX41" s="48">
        <v>4</v>
      </c>
      <c r="GY41" s="48">
        <v>4</v>
      </c>
      <c r="GZ41" s="48">
        <v>4</v>
      </c>
      <c r="HA41" s="48">
        <v>4</v>
      </c>
      <c r="HB41" s="48" t="s">
        <v>197</v>
      </c>
      <c r="HC41" s="48" t="s">
        <v>197</v>
      </c>
      <c r="HD41" s="48">
        <v>4</v>
      </c>
      <c r="HE41" s="48">
        <v>4</v>
      </c>
      <c r="HF41" s="48">
        <v>4</v>
      </c>
      <c r="HG41" s="48">
        <v>4</v>
      </c>
      <c r="HH41" s="48">
        <v>2.1914385709372701</v>
      </c>
      <c r="HI41" s="48">
        <v>2.19310840651158</v>
      </c>
      <c r="HJ41" s="48">
        <v>2.1943463631454301</v>
      </c>
      <c r="HK41" s="48">
        <v>2.19606313325672</v>
      </c>
      <c r="HL41" s="48">
        <v>2.1949432102889599</v>
      </c>
      <c r="HM41" s="48">
        <v>2.19211351329343</v>
      </c>
      <c r="HN41" s="48">
        <v>2.1900652262942901</v>
      </c>
      <c r="HO41" s="48">
        <v>2.4</v>
      </c>
      <c r="HP41" s="48">
        <v>2.4</v>
      </c>
      <c r="HQ41" s="48">
        <v>2.4</v>
      </c>
      <c r="HR41" s="48">
        <v>2.77</v>
      </c>
      <c r="HS41" s="48">
        <v>2.77</v>
      </c>
      <c r="HT41" s="48">
        <v>3.0150000000000001</v>
      </c>
      <c r="HU41" s="48">
        <v>3.69</v>
      </c>
      <c r="HV41" s="48">
        <v>3.69</v>
      </c>
      <c r="HW41" s="48">
        <v>3.69</v>
      </c>
      <c r="HX41" s="48">
        <v>5.8066666666666702</v>
      </c>
      <c r="HY41" s="48">
        <v>6.2611191335740104</v>
      </c>
      <c r="HZ41" s="48">
        <v>7.0798933948063496</v>
      </c>
      <c r="IA41" s="48">
        <v>6.9738585802640101</v>
      </c>
    </row>
    <row r="42" spans="1:235">
      <c r="A42" s="12" t="s">
        <v>297</v>
      </c>
      <c r="B42" s="34" t="s">
        <v>235</v>
      </c>
      <c r="C42" s="12" t="s">
        <v>297</v>
      </c>
      <c r="D42" s="43" t="s">
        <v>197</v>
      </c>
      <c r="E42" s="43">
        <v>15</v>
      </c>
      <c r="F42" s="43">
        <v>15</v>
      </c>
      <c r="G42" s="43">
        <v>15</v>
      </c>
      <c r="H42" s="43">
        <v>6.43</v>
      </c>
      <c r="I42" s="43">
        <v>15</v>
      </c>
      <c r="J42" s="43">
        <v>15</v>
      </c>
      <c r="K42" s="43">
        <v>15</v>
      </c>
      <c r="L42" s="43">
        <v>15</v>
      </c>
      <c r="M42" s="43">
        <v>15</v>
      </c>
      <c r="N42" s="43">
        <v>14.7</v>
      </c>
      <c r="O42" s="43">
        <v>14</v>
      </c>
      <c r="P42" s="43">
        <v>14</v>
      </c>
      <c r="Q42" s="43">
        <v>14</v>
      </c>
      <c r="R42" s="43">
        <v>14</v>
      </c>
      <c r="S42" s="43">
        <v>14</v>
      </c>
      <c r="T42" s="43">
        <v>10.119999999999999</v>
      </c>
      <c r="U42" s="43">
        <v>10.59</v>
      </c>
      <c r="V42" s="43">
        <v>11.4</v>
      </c>
      <c r="W42" s="43">
        <v>11.4</v>
      </c>
      <c r="X42" s="43">
        <v>12.48</v>
      </c>
      <c r="Y42" s="43">
        <v>11.44</v>
      </c>
      <c r="Z42" s="43">
        <v>13.080033953399619</v>
      </c>
      <c r="AA42" s="43">
        <v>15.329921983922164</v>
      </c>
      <c r="AB42" s="43">
        <v>16.609012324382341</v>
      </c>
      <c r="AC42" s="43">
        <v>13.142741812006737</v>
      </c>
      <c r="AD42" s="43">
        <v>16.510000000000002</v>
      </c>
      <c r="AE42" s="43">
        <v>13.51</v>
      </c>
      <c r="AF42" s="43">
        <v>13.54</v>
      </c>
      <c r="AG42" s="43">
        <v>13.79</v>
      </c>
      <c r="AH42" s="43">
        <v>13.70318894084274</v>
      </c>
      <c r="AI42" s="43">
        <v>13.744010457445142</v>
      </c>
      <c r="AJ42" s="43">
        <v>14.775503956652841</v>
      </c>
      <c r="AK42" s="43">
        <v>14.631648450939167</v>
      </c>
      <c r="AL42" s="43">
        <v>13.881369759598016</v>
      </c>
      <c r="AM42" s="43">
        <v>13.648980597811947</v>
      </c>
      <c r="AN42" s="43">
        <v>13.979758117653727</v>
      </c>
      <c r="AO42" s="43">
        <v>14.716650137924713</v>
      </c>
      <c r="AP42" s="43">
        <v>14.725575513164063</v>
      </c>
      <c r="AQ42" s="43">
        <v>12.704824453132325</v>
      </c>
      <c r="AR42" s="43">
        <v>13.367543859649123</v>
      </c>
      <c r="AS42" s="43">
        <v>14.742375818614494</v>
      </c>
      <c r="AT42" s="43">
        <v>14.511715895878471</v>
      </c>
      <c r="AU42" s="43">
        <v>14.737295352247044</v>
      </c>
      <c r="AV42" s="43">
        <v>14.76</v>
      </c>
      <c r="AW42" s="43">
        <v>14.976551594702702</v>
      </c>
      <c r="AX42" s="43">
        <v>16.00001306887734</v>
      </c>
      <c r="AY42" s="43">
        <v>16.00001306887734</v>
      </c>
      <c r="AZ42" s="43" t="s">
        <v>197</v>
      </c>
      <c r="BA42" s="43">
        <v>15.999948768304657</v>
      </c>
      <c r="BB42" s="43">
        <v>14.999988258638707</v>
      </c>
      <c r="BC42" s="43">
        <v>14.99991292611781</v>
      </c>
      <c r="BD42" s="43" t="s">
        <v>197</v>
      </c>
      <c r="BE42" s="43" t="s">
        <v>197</v>
      </c>
      <c r="BF42" s="43" t="s">
        <v>197</v>
      </c>
      <c r="BG42" s="43">
        <v>19.845190532931476</v>
      </c>
      <c r="BH42" s="43">
        <v>19.882192721625188</v>
      </c>
      <c r="BI42" s="43">
        <v>17.045253242277557</v>
      </c>
      <c r="BJ42" s="43">
        <v>17.05601047632571</v>
      </c>
      <c r="BK42" s="43">
        <v>16.368200268594105</v>
      </c>
      <c r="BL42" s="43">
        <v>17.056149119407824</v>
      </c>
      <c r="BM42" s="43">
        <v>17.056102976618494</v>
      </c>
      <c r="BN42" s="43">
        <v>17.049716552837253</v>
      </c>
      <c r="BO42" s="43">
        <v>17.039889770864804</v>
      </c>
      <c r="BP42" s="43">
        <v>17.039812627553072</v>
      </c>
      <c r="BQ42" s="43">
        <v>14.987911570183861</v>
      </c>
      <c r="BR42" s="43">
        <v>14.782957602746079</v>
      </c>
      <c r="BS42" s="43">
        <v>14.833143989891379</v>
      </c>
      <c r="BT42" s="43">
        <v>14.2</v>
      </c>
      <c r="BU42" s="43">
        <v>14.18227129260654</v>
      </c>
      <c r="BV42" s="43">
        <v>16.337893747635377</v>
      </c>
      <c r="BW42" s="43">
        <v>13.816254136009738</v>
      </c>
      <c r="BX42" s="43">
        <v>13.990008226286148</v>
      </c>
      <c r="BY42" s="43">
        <v>14.374279307050765</v>
      </c>
      <c r="BZ42" s="43">
        <v>14.032414673978661</v>
      </c>
      <c r="CA42" s="43">
        <v>14.133239867448381</v>
      </c>
      <c r="CB42" s="43">
        <v>14.063395644733575</v>
      </c>
      <c r="CC42" s="43">
        <v>14.061087083117954</v>
      </c>
      <c r="CD42" s="43">
        <v>13.672388541356369</v>
      </c>
      <c r="CE42" s="43">
        <v>13.666078090027357</v>
      </c>
      <c r="CF42" s="43">
        <v>14.168596849776016</v>
      </c>
      <c r="CG42" s="43">
        <v>14.168375633120457</v>
      </c>
      <c r="CH42" s="43">
        <v>14.169247703897355</v>
      </c>
      <c r="CI42" s="43">
        <v>14.169247703897355</v>
      </c>
      <c r="CJ42" s="43">
        <v>13.602518842055137</v>
      </c>
      <c r="CK42" s="43">
        <v>12.248531975410586</v>
      </c>
      <c r="CL42" s="43">
        <v>12.289880823401951</v>
      </c>
      <c r="CM42" s="43">
        <v>12.401034330985917</v>
      </c>
      <c r="CN42" s="43">
        <v>12.25</v>
      </c>
      <c r="CO42" s="43">
        <v>12.247909521570067</v>
      </c>
      <c r="CP42" s="43">
        <v>12.246827746036116</v>
      </c>
      <c r="CQ42" s="43">
        <v>12.246598132127859</v>
      </c>
      <c r="CR42" s="43">
        <v>17.209758792119313</v>
      </c>
      <c r="CS42" s="43">
        <v>17.210004788742772</v>
      </c>
      <c r="CT42" s="43">
        <v>17.20999115826702</v>
      </c>
      <c r="CU42" s="43">
        <v>13.479567527945758</v>
      </c>
      <c r="CV42" s="43">
        <v>13.479346631066438</v>
      </c>
      <c r="CW42" s="43">
        <v>17.210016214622641</v>
      </c>
      <c r="CX42" s="43">
        <v>17.210000368609201</v>
      </c>
      <c r="CY42" s="43">
        <v>17.210000368609201</v>
      </c>
      <c r="CZ42" s="43">
        <v>17.210000368609201</v>
      </c>
      <c r="DA42" s="43">
        <v>9.2547155111005601</v>
      </c>
      <c r="DB42" s="43">
        <v>9.2547155111005601</v>
      </c>
      <c r="DC42" s="43">
        <v>9.2698754007361703</v>
      </c>
      <c r="DD42" s="43">
        <v>9.8247130368228905</v>
      </c>
      <c r="DE42" s="43">
        <v>9.8246216267669304</v>
      </c>
      <c r="DF42" s="43">
        <v>9.8247130368228905</v>
      </c>
      <c r="DG42" s="43">
        <v>9.2698754007361703</v>
      </c>
      <c r="DH42" s="43">
        <v>9.7663411588274407</v>
      </c>
      <c r="DI42" s="43">
        <v>7.9266243045756397</v>
      </c>
      <c r="DJ42" s="43">
        <v>6.8496119611130499</v>
      </c>
      <c r="DK42" s="43">
        <v>7.9265172846969199</v>
      </c>
      <c r="DL42" s="43">
        <v>7.9261139540057801</v>
      </c>
      <c r="DM42" s="43">
        <v>7.9265963495955596</v>
      </c>
      <c r="DN42" s="43">
        <v>6.6743531040143607</v>
      </c>
      <c r="DO42" s="43">
        <v>6.8678449308356297</v>
      </c>
      <c r="DP42" s="43">
        <v>8.1343273094574098</v>
      </c>
      <c r="DQ42" s="43">
        <v>16.682583952917501</v>
      </c>
      <c r="DR42" s="43">
        <v>16.789718749999999</v>
      </c>
      <c r="DS42" s="43">
        <v>16.789718749999999</v>
      </c>
      <c r="DT42" s="43">
        <v>10.576702761141499</v>
      </c>
      <c r="DU42" s="43">
        <v>10.576702761141499</v>
      </c>
      <c r="DV42" s="43">
        <v>8.33</v>
      </c>
      <c r="DW42" s="43">
        <v>10.588610102806699</v>
      </c>
      <c r="DX42" s="43">
        <v>9.5174295950841703</v>
      </c>
      <c r="DY42" s="43">
        <v>11.445332019538901</v>
      </c>
      <c r="DZ42" s="43">
        <v>10.8438744534789</v>
      </c>
      <c r="EA42" s="43">
        <v>11.9671364259938</v>
      </c>
      <c r="EB42" s="43">
        <v>8.0552182945293307</v>
      </c>
      <c r="EC42" s="43">
        <v>7.9863860191828904</v>
      </c>
      <c r="ED42" s="43">
        <v>7.6643431696626303</v>
      </c>
      <c r="EE42" s="43">
        <v>7.0778898298517401</v>
      </c>
      <c r="EF42" s="43">
        <v>6.8405384840724901</v>
      </c>
      <c r="EG42" s="43">
        <v>7.04071070945378</v>
      </c>
      <c r="EH42" s="43">
        <v>5.2016430169704897</v>
      </c>
      <c r="EI42" s="43">
        <v>3.7766590767308599</v>
      </c>
      <c r="EJ42" s="43">
        <v>4.1715789471545088</v>
      </c>
      <c r="EK42" s="43">
        <v>4.1672887415519311</v>
      </c>
      <c r="EL42" s="43">
        <v>4.2456166630524761</v>
      </c>
      <c r="EM42" s="43">
        <v>4.2475596571029772</v>
      </c>
      <c r="EN42" s="43">
        <v>4.2473549991232362</v>
      </c>
      <c r="EO42" s="43">
        <v>4.7489192122268413</v>
      </c>
      <c r="EP42" s="43">
        <v>4.7250913892008892</v>
      </c>
      <c r="EQ42" s="43">
        <v>4.6959971694463256</v>
      </c>
      <c r="ER42" s="43">
        <v>4.7104080266050863</v>
      </c>
      <c r="ES42" s="43">
        <v>4.7124931774515817</v>
      </c>
      <c r="ET42" s="43">
        <v>8.3220523994717599</v>
      </c>
      <c r="EU42" s="43">
        <v>12.618383534718101</v>
      </c>
      <c r="EV42" s="43">
        <v>12.618382944429099</v>
      </c>
      <c r="EW42" s="43">
        <v>12.618369626723199</v>
      </c>
      <c r="EX42" s="43">
        <v>12.6183629372353</v>
      </c>
      <c r="EY42" s="43">
        <v>15.288254196245198</v>
      </c>
      <c r="EZ42" s="43">
        <v>11.96983039215473</v>
      </c>
      <c r="FA42" s="43">
        <v>11.969832156305465</v>
      </c>
      <c r="FB42" s="43">
        <v>11.969821332086747</v>
      </c>
      <c r="FC42" s="43">
        <v>11.993904010187103</v>
      </c>
      <c r="FD42" s="43">
        <v>11.993765776050019</v>
      </c>
      <c r="FE42" s="48">
        <v>3.5000000000000004</v>
      </c>
      <c r="FF42" s="48">
        <v>10.942714819427142</v>
      </c>
      <c r="FG42" s="48">
        <v>10.942714819427142</v>
      </c>
      <c r="FH42" s="48">
        <v>10.942551200608532</v>
      </c>
      <c r="FI42" s="48">
        <v>9.8390772039903318</v>
      </c>
      <c r="FJ42" s="48">
        <v>9.9939727523196122</v>
      </c>
      <c r="FK42" s="48">
        <v>3.9106990374378503</v>
      </c>
      <c r="FL42" s="48">
        <v>4.248918353105374</v>
      </c>
      <c r="FM42" s="48">
        <v>4.2514207373513333</v>
      </c>
      <c r="FN42" s="48">
        <v>4.1393046001514504</v>
      </c>
      <c r="FO42" s="48">
        <v>4.0246236140139571</v>
      </c>
      <c r="FP42" s="48">
        <v>3.640784526359766</v>
      </c>
      <c r="FQ42" s="48">
        <v>4.7033753379637142</v>
      </c>
      <c r="FR42" s="48">
        <v>5.0283018867924527</v>
      </c>
      <c r="FS42" s="48">
        <v>5.5</v>
      </c>
      <c r="FT42" s="48" t="s">
        <v>197</v>
      </c>
      <c r="FU42" s="48">
        <v>1.9</v>
      </c>
      <c r="FV42" s="48">
        <v>1.9</v>
      </c>
      <c r="FW42" s="48">
        <v>2.7919621214678774</v>
      </c>
      <c r="FX42" s="48">
        <v>2.8030190358805807</v>
      </c>
      <c r="FY42" s="48">
        <v>2.8089870011900722</v>
      </c>
      <c r="FZ42" s="48">
        <v>2.796217603093742</v>
      </c>
      <c r="GA42" s="48">
        <v>2.9291173119146214</v>
      </c>
      <c r="GB42" s="48">
        <v>2.9332131293960031</v>
      </c>
      <c r="GC42" s="48">
        <v>3.568299615241405</v>
      </c>
      <c r="GD42" s="48">
        <v>3.5800095019003799</v>
      </c>
      <c r="GE42" s="48">
        <v>3.5821863889027994</v>
      </c>
      <c r="GF42" s="48">
        <v>3.5802108185160177</v>
      </c>
      <c r="GG42" s="48">
        <v>3.895113135972855</v>
      </c>
      <c r="GH42" s="48">
        <v>4.2080000794284702</v>
      </c>
      <c r="GI42" s="48">
        <v>4.6666058538907</v>
      </c>
      <c r="GJ42" s="48">
        <v>4.6525849591848498</v>
      </c>
      <c r="GK42" s="48">
        <v>4.6490306573026601</v>
      </c>
      <c r="GL42" s="48">
        <v>4.6534554375694297</v>
      </c>
      <c r="GM42" s="48">
        <v>5</v>
      </c>
      <c r="GN42" s="48">
        <v>5</v>
      </c>
      <c r="GO42" s="48">
        <v>5</v>
      </c>
      <c r="GP42" s="48">
        <v>5</v>
      </c>
      <c r="GQ42" s="48">
        <v>5</v>
      </c>
      <c r="GR42" s="48">
        <v>5</v>
      </c>
      <c r="GS42" s="48">
        <v>5</v>
      </c>
      <c r="GT42" s="48">
        <v>4</v>
      </c>
      <c r="GU42" s="49">
        <v>5</v>
      </c>
      <c r="GV42" s="49">
        <v>5</v>
      </c>
      <c r="GW42" s="49">
        <v>5</v>
      </c>
      <c r="GX42" s="49">
        <v>5</v>
      </c>
      <c r="GY42" s="49">
        <v>5</v>
      </c>
      <c r="GZ42" s="49">
        <v>5</v>
      </c>
      <c r="HA42" s="49">
        <v>5</v>
      </c>
      <c r="HB42" s="49">
        <v>5</v>
      </c>
      <c r="HC42" s="49">
        <v>4.75</v>
      </c>
      <c r="HD42" s="49">
        <v>4.75</v>
      </c>
      <c r="HE42" s="49">
        <v>4.75</v>
      </c>
      <c r="HF42" s="48">
        <v>3.9375</v>
      </c>
      <c r="HG42" s="48">
        <v>3.9375</v>
      </c>
      <c r="HH42" s="48">
        <v>3.7666666666666702</v>
      </c>
      <c r="HI42" s="48">
        <v>3.7666666666666702</v>
      </c>
      <c r="HJ42" s="48">
        <v>3.7666666666666702</v>
      </c>
      <c r="HK42" s="48">
        <v>3.93611111111111</v>
      </c>
      <c r="HL42" s="48">
        <v>3.9184210526315799</v>
      </c>
      <c r="HM42" s="48">
        <v>3.9184210526315799</v>
      </c>
      <c r="HN42" s="48">
        <v>3.9184210526315799</v>
      </c>
      <c r="HO42" s="48">
        <v>4.6868421052631604</v>
      </c>
      <c r="HP42" s="48">
        <v>4.6868421052631604</v>
      </c>
      <c r="HQ42" s="48">
        <v>4.6868421052631604</v>
      </c>
      <c r="HR42" s="48">
        <v>5.5637335285505101</v>
      </c>
      <c r="HS42" s="48">
        <v>5.5581723079896603</v>
      </c>
      <c r="HT42" s="48">
        <v>5.6836920008529699</v>
      </c>
      <c r="HU42" s="48">
        <v>5.9261679576539503</v>
      </c>
      <c r="HV42" s="48">
        <v>5.9030356431541904</v>
      </c>
      <c r="HW42" s="48">
        <v>5.8908370185736096</v>
      </c>
      <c r="HX42" s="48">
        <v>5.9678861919305604</v>
      </c>
      <c r="HY42" s="48">
        <v>5.9806364359586297</v>
      </c>
      <c r="HZ42" s="48">
        <v>5.9829196709335202</v>
      </c>
      <c r="IA42" s="48">
        <v>6.0540418563782996</v>
      </c>
    </row>
    <row r="43" spans="1:235"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</row>
    <row r="44" spans="1:235"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</row>
  </sheetData>
  <dataValidations count="2">
    <dataValidation type="list" allowBlank="1" showInputMessage="1" showErrorMessage="1" sqref="B7" xr:uid="{00000000-0002-0000-0200-000000000000}">
      <formula1>$WQT$3:$WQT$5</formula1>
    </dataValidation>
    <dataValidation type="list" allowBlank="1" showErrorMessage="1" prompt="_x000a_" sqref="B6" xr:uid="{00000000-0002-0000-0200-000001000000}">
      <formula1>$WQU$3:$WQU$6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3.1</vt:lpstr>
      <vt:lpstr>Table 3.2_nationalcurreny</vt:lpstr>
      <vt:lpstr>Table 3.2_foreigncurrency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Elnur Aliyev</cp:lastModifiedBy>
  <dcterms:created xsi:type="dcterms:W3CDTF">2016-03-10T14:57:36Z</dcterms:created>
  <dcterms:modified xsi:type="dcterms:W3CDTF">2024-03-30T13:23:52Z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